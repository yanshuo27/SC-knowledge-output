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 filterPrivacy="1" codeName="ThisWorkbook"/>
  <xr:revisionPtr revIDLastSave="0" documentId="8_{7DE66F32-021C-4E10-8D5E-8A8E213E9668}" xr6:coauthVersionLast="36" xr6:coauthVersionMax="36" xr10:uidLastSave="{00000000-0000-0000-0000-000000000000}"/>
  <bookViews>
    <workbookView xWindow="0" yWindow="0" windowWidth="22260" windowHeight="12648" tabRatio="723" activeTab="7" xr2:uid="{00000000-000D-0000-FFFF-FFFF00000000}"/>
  </bookViews>
  <sheets>
    <sheet name="日淘" sheetId="1" r:id="rId1"/>
    <sheet name="闲鱼" sheetId="7" r:id="rId2"/>
    <sheet name="泡泡玛特" sheetId="16" r:id="rId3"/>
    <sheet name="并夕夕" sheetId="6" r:id="rId4"/>
    <sheet name="预定" sheetId="4" r:id="rId5"/>
    <sheet name="抖音" sheetId="9" r:id="rId6"/>
    <sheet name="套书+单行本" sheetId="17" r:id="rId7"/>
    <sheet name="散本+未完结" sheetId="18" r:id="rId8"/>
    <sheet name="淘宝" sheetId="5" r:id="rId9"/>
    <sheet name="B站市集" sheetId="8" r:id="rId10"/>
    <sheet name="小程序" sheetId="14" r:id="rId11"/>
    <sheet name="入魂一番赏" sheetId="13" r:id="rId12"/>
    <sheet name="总计" sheetId="10" r:id="rId13"/>
  </sheets>
  <definedNames>
    <definedName name="_xlnm._FilterDatabase" localSheetId="9" hidden="1">B站市集!$A$1:$O$1</definedName>
    <definedName name="_xlnm._FilterDatabase" localSheetId="11" hidden="1">入魂一番赏!$A$1:$N$1</definedName>
    <definedName name="_xlnm._FilterDatabase" localSheetId="6" hidden="1">'套书+单行本'!$A$1:$T$84</definedName>
    <definedName name="_xlnm._FilterDatabase" localSheetId="10" hidden="1">小程序!$A$1:$N$1</definedName>
    <definedName name="_xlnm._FilterDatabase" localSheetId="3" hidden="1">并夕夕!$A$1:$K$76</definedName>
    <definedName name="_xlnm._FilterDatabase" localSheetId="5" hidden="1">抖音!$A$1:$N$1</definedName>
    <definedName name="_xlnm._FilterDatabase" localSheetId="7" hidden="1">'散本+未完结'!$A$1:$R$212</definedName>
    <definedName name="_xlnm._FilterDatabase" localSheetId="0" hidden="1">日淘!$A$1:$R$177</definedName>
    <definedName name="_xlnm._FilterDatabase" localSheetId="2" hidden="1">泡泡玛特!$A$1:$N$60</definedName>
    <definedName name="_xlnm._FilterDatabase" localSheetId="8" hidden="1">淘宝!$A$1:$N$1</definedName>
    <definedName name="_xlnm._FilterDatabase" localSheetId="1" hidden="1">闲鱼!$A$1:$M$113</definedName>
    <definedName name="_xlnm._FilterDatabase" localSheetId="4" hidden="1">预定!$A$1:$Q$133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5" i="7" l="1"/>
  <c r="L135" i="7" s="1"/>
  <c r="H135" i="7"/>
  <c r="U3" i="18"/>
  <c r="U2" i="18"/>
  <c r="W3" i="17"/>
  <c r="H135" i="4"/>
  <c r="H122" i="4"/>
  <c r="H125" i="4"/>
  <c r="I49" i="13"/>
  <c r="J49" i="13" s="1"/>
  <c r="I48" i="13"/>
  <c r="J48" i="13" s="1"/>
  <c r="H107" i="4"/>
  <c r="H108" i="4"/>
  <c r="K67" i="7" l="1"/>
  <c r="L67" i="7" s="1"/>
  <c r="K39" i="4"/>
  <c r="L39" i="4" s="1"/>
  <c r="H131" i="4"/>
  <c r="H140" i="4" l="1"/>
  <c r="I177" i="1"/>
  <c r="R112" i="17" l="1"/>
  <c r="S112" i="17" s="1"/>
  <c r="U4" i="18"/>
  <c r="U7" i="18" l="1"/>
  <c r="U5" i="18"/>
  <c r="I18" i="9"/>
  <c r="J18" i="9" s="1"/>
  <c r="U6" i="18" l="1"/>
  <c r="I22" i="9" l="1"/>
  <c r="J22" i="9" s="1"/>
  <c r="I20" i="9" l="1"/>
  <c r="J20" i="9"/>
  <c r="K100" i="4"/>
  <c r="L100" i="4" s="1"/>
  <c r="I45" i="5" l="1"/>
  <c r="J45" i="5" s="1"/>
  <c r="I19" i="9" l="1"/>
  <c r="J19" i="9" s="1"/>
  <c r="I21" i="9"/>
  <c r="J21" i="9" s="1"/>
  <c r="K46" i="4" l="1"/>
  <c r="L46" i="4" s="1"/>
  <c r="H139" i="4" l="1"/>
  <c r="H117" i="4"/>
  <c r="H116" i="4"/>
  <c r="H138" i="4"/>
  <c r="L164" i="1" l="1"/>
  <c r="M164" i="1" s="1"/>
  <c r="H121" i="4" l="1"/>
  <c r="K59" i="4"/>
  <c r="L59" i="4" s="1"/>
  <c r="H134" i="7" l="1"/>
  <c r="L115" i="1" l="1"/>
  <c r="M115" i="1" s="1"/>
  <c r="G15" i="8" l="1"/>
  <c r="H133" i="7" l="1"/>
  <c r="I64" i="16" l="1"/>
  <c r="J64" i="16" s="1"/>
  <c r="K35" i="4"/>
  <c r="L35" i="4" s="1"/>
  <c r="L138" i="1"/>
  <c r="M138" i="1" s="1"/>
  <c r="H101" i="4" l="1"/>
  <c r="H134" i="4"/>
  <c r="H137" i="4"/>
  <c r="H120" i="4"/>
  <c r="H136" i="4"/>
  <c r="H132" i="7"/>
  <c r="H128" i="4"/>
  <c r="G16" i="8" l="1"/>
  <c r="J11" i="8"/>
  <c r="K11" i="8" s="1"/>
  <c r="H91" i="4" l="1"/>
  <c r="H131" i="7"/>
  <c r="I171" i="1" l="1"/>
  <c r="I179" i="1"/>
  <c r="L65" i="1"/>
  <c r="M65" i="1" s="1"/>
  <c r="H83" i="4" l="1"/>
  <c r="L165" i="1" l="1"/>
  <c r="M165" i="1" s="1"/>
  <c r="K81" i="4" l="1"/>
  <c r="L81" i="4" s="1"/>
  <c r="H81" i="4" l="1"/>
  <c r="K78" i="4" l="1"/>
  <c r="L78" i="4" s="1"/>
  <c r="H124" i="7" l="1"/>
  <c r="H130" i="7"/>
  <c r="L172" i="1" l="1"/>
  <c r="M172" i="1" s="1"/>
  <c r="I46" i="5" l="1"/>
  <c r="J46" i="5" s="1"/>
  <c r="H128" i="7"/>
  <c r="J2" i="8"/>
  <c r="K2" i="8" s="1"/>
  <c r="G14" i="8"/>
  <c r="G13" i="8"/>
  <c r="G10" i="8"/>
  <c r="K77" i="4"/>
  <c r="L77" i="4" s="1"/>
  <c r="H129" i="7" l="1"/>
  <c r="G17" i="8"/>
  <c r="G12" i="8"/>
  <c r="K76" i="4"/>
  <c r="L76" i="4" s="1"/>
  <c r="G11" i="8" l="1"/>
  <c r="L161" i="1"/>
  <c r="M161" i="1" s="1"/>
  <c r="H127" i="7" l="1"/>
  <c r="I56" i="16" l="1"/>
  <c r="J56" i="16" s="1"/>
  <c r="H127" i="4"/>
  <c r="H102" i="4" l="1"/>
  <c r="H104" i="4"/>
  <c r="I174" i="1"/>
  <c r="I173" i="1"/>
  <c r="I172" i="1"/>
  <c r="H133" i="4"/>
  <c r="H124" i="4"/>
  <c r="H118" i="4"/>
  <c r="H115" i="4"/>
  <c r="H129" i="4"/>
  <c r="H119" i="4"/>
  <c r="H126" i="4"/>
  <c r="H132" i="4"/>
  <c r="K74" i="4"/>
  <c r="L74" i="4" s="1"/>
  <c r="H74" i="4"/>
  <c r="H126" i="7"/>
  <c r="H125" i="7"/>
  <c r="H123" i="7"/>
  <c r="H122" i="7"/>
  <c r="H121" i="7"/>
  <c r="I62" i="16" l="1"/>
  <c r="J62" i="16" s="1"/>
  <c r="L82" i="1" l="1"/>
  <c r="M82" i="1" s="1"/>
  <c r="I61" i="16" l="1"/>
  <c r="J61" i="16" s="1"/>
  <c r="H120" i="7" l="1"/>
  <c r="H119" i="7"/>
  <c r="I32" i="16"/>
  <c r="J32" i="16" s="1"/>
  <c r="I25" i="16"/>
  <c r="J25" i="16" s="1"/>
  <c r="I46" i="16"/>
  <c r="J46" i="16" s="1"/>
  <c r="I54" i="16"/>
  <c r="J54" i="16" s="1"/>
  <c r="L108" i="1"/>
  <c r="M108" i="1" s="1"/>
  <c r="I60" i="16" l="1"/>
  <c r="J60" i="16" s="1"/>
  <c r="L147" i="1" l="1"/>
  <c r="M147" i="1" s="1"/>
  <c r="K65" i="4"/>
  <c r="L65" i="4" s="1"/>
  <c r="I58" i="16"/>
  <c r="J58" i="16" s="1"/>
  <c r="I49" i="16" l="1"/>
  <c r="J49" i="16" s="1"/>
  <c r="H106" i="4"/>
  <c r="H94" i="4"/>
  <c r="H123" i="4"/>
  <c r="I59" i="16"/>
  <c r="J59" i="16" s="1"/>
  <c r="K64" i="4" l="1"/>
  <c r="L64" i="4" l="1"/>
  <c r="I57" i="16" l="1"/>
  <c r="J57" i="16" s="1"/>
  <c r="H63" i="4" l="1"/>
  <c r="K26" i="4"/>
  <c r="L26" i="4" s="1"/>
  <c r="I55" i="16" l="1"/>
  <c r="J55" i="16" s="1"/>
  <c r="H118" i="7" l="1"/>
  <c r="H110" i="4" l="1"/>
  <c r="K117" i="7" l="1"/>
  <c r="L117" i="7" s="1"/>
  <c r="I24" i="16"/>
  <c r="J24" i="16" s="1"/>
  <c r="H92" i="4" l="1"/>
  <c r="H97" i="4"/>
  <c r="H105" i="4"/>
  <c r="H114" i="4" l="1"/>
  <c r="L167" i="1" l="1"/>
  <c r="M167" i="1" s="1"/>
  <c r="I53" i="16" l="1"/>
  <c r="J53" i="16" s="1"/>
  <c r="I48" i="16" l="1"/>
  <c r="J48" i="16" s="1"/>
  <c r="L139" i="1" l="1"/>
  <c r="M139" i="1" s="1"/>
  <c r="L93" i="1" l="1"/>
  <c r="M93" i="1" s="1"/>
  <c r="I168" i="1" l="1"/>
  <c r="H109" i="4"/>
  <c r="I167" i="1" l="1"/>
  <c r="I166" i="1"/>
  <c r="I31" i="16"/>
  <c r="J31" i="16" s="1"/>
  <c r="I27" i="16"/>
  <c r="J27" i="16" s="1"/>
  <c r="I26" i="16" l="1"/>
  <c r="J26" i="16" s="1"/>
  <c r="J9" i="8" l="1"/>
  <c r="K9" i="8" s="1"/>
  <c r="G9" i="8"/>
  <c r="H86" i="4" l="1"/>
  <c r="H67" i="4"/>
  <c r="H113" i="4"/>
  <c r="H84" i="4"/>
  <c r="K58" i="4"/>
  <c r="L58" i="4" s="1"/>
  <c r="G8" i="8"/>
  <c r="K56" i="4" l="1"/>
  <c r="L56" i="4" s="1"/>
  <c r="K2" i="4"/>
  <c r="L2" i="4" s="1"/>
  <c r="L123" i="1" l="1"/>
  <c r="M123" i="1" s="1"/>
  <c r="H77" i="4" l="1"/>
  <c r="H88" i="4"/>
  <c r="H87" i="4"/>
  <c r="H79" i="4"/>
  <c r="H80" i="4"/>
  <c r="H130" i="4"/>
  <c r="I44" i="16"/>
  <c r="J44" i="16" s="1"/>
  <c r="I43" i="16"/>
  <c r="J43" i="16" s="1"/>
  <c r="I42" i="16"/>
  <c r="J42" i="16" s="1"/>
  <c r="I40" i="16"/>
  <c r="J40" i="16" s="1"/>
  <c r="I39" i="16"/>
  <c r="J39" i="16" s="1"/>
  <c r="I36" i="16"/>
  <c r="J36" i="16" s="1"/>
  <c r="I35" i="16"/>
  <c r="J35" i="16" s="1"/>
  <c r="K55" i="4" l="1"/>
  <c r="L55" i="4" s="1"/>
  <c r="I33" i="16" l="1"/>
  <c r="J33" i="16" s="1"/>
  <c r="I23" i="16" l="1"/>
  <c r="J23" i="16" s="1"/>
  <c r="L101" i="1" l="1"/>
  <c r="M101" i="1" s="1"/>
  <c r="H90" i="4"/>
  <c r="H85" i="4"/>
  <c r="I30" i="16"/>
  <c r="J30" i="16" s="1"/>
  <c r="I29" i="16"/>
  <c r="J29" i="16" s="1"/>
  <c r="I28" i="16"/>
  <c r="J28" i="16" s="1"/>
  <c r="K11" i="4"/>
  <c r="L11" i="4" s="1"/>
  <c r="I165" i="1"/>
  <c r="I164" i="1"/>
  <c r="I163" i="1"/>
  <c r="I20" i="16" l="1"/>
  <c r="J20" i="16" s="1"/>
  <c r="H73" i="4"/>
  <c r="H99" i="4" l="1"/>
  <c r="H100" i="4"/>
  <c r="I19" i="16" l="1"/>
  <c r="J19" i="16" s="1"/>
  <c r="W5" i="17" l="1"/>
  <c r="W4" i="17"/>
  <c r="W2" i="17"/>
  <c r="W6" i="17" l="1"/>
  <c r="W7" i="17"/>
  <c r="O4" i="16" l="1"/>
  <c r="O3" i="16"/>
  <c r="O2" i="16"/>
  <c r="I18" i="16"/>
  <c r="J18" i="16" s="1"/>
  <c r="I17" i="16"/>
  <c r="J17" i="16" s="1"/>
  <c r="O7" i="16" l="1"/>
  <c r="I44" i="5"/>
  <c r="J44" i="5" s="1"/>
  <c r="J3" i="8" l="1"/>
  <c r="K3" i="8" s="1"/>
  <c r="K17" i="4" l="1"/>
  <c r="L17" i="4" s="1"/>
  <c r="K18" i="4" l="1"/>
  <c r="L18" i="4" s="1"/>
  <c r="I43" i="5" l="1"/>
  <c r="J43" i="5" s="1"/>
  <c r="I14" i="16"/>
  <c r="J14" i="16" s="1"/>
  <c r="H89" i="4" l="1"/>
  <c r="H103" i="4"/>
  <c r="H98" i="4"/>
  <c r="H69" i="4"/>
  <c r="H96" i="4"/>
  <c r="I13" i="16" l="1"/>
  <c r="J13" i="16" s="1"/>
  <c r="H93" i="4" l="1"/>
  <c r="H95" i="4" l="1"/>
  <c r="H71" i="4"/>
  <c r="H82" i="4"/>
  <c r="H117" i="7" l="1"/>
  <c r="H116" i="7"/>
  <c r="I12" i="16" l="1"/>
  <c r="J12" i="16" s="1"/>
  <c r="H61" i="4" l="1"/>
  <c r="I15" i="9"/>
  <c r="J15" i="9" s="1"/>
  <c r="L136" i="1"/>
  <c r="M136" i="1" s="1"/>
  <c r="L95" i="1"/>
  <c r="M95" i="1" s="1"/>
  <c r="H68" i="4" l="1"/>
  <c r="H115" i="7" l="1"/>
  <c r="I14" i="9" l="1"/>
  <c r="J14" i="9" s="1"/>
  <c r="I8" i="16" l="1"/>
  <c r="J8" i="16" s="1"/>
  <c r="I7" i="16" l="1"/>
  <c r="J7" i="16" s="1"/>
  <c r="I6" i="16"/>
  <c r="J6" i="16" s="1"/>
  <c r="I5" i="16"/>
  <c r="J5" i="16" s="1"/>
  <c r="I4" i="16"/>
  <c r="J4" i="16" s="1"/>
  <c r="I3" i="16"/>
  <c r="J3" i="16" s="1"/>
  <c r="I2" i="16"/>
  <c r="O5" i="16" l="1"/>
  <c r="O6" i="16" s="1"/>
  <c r="J2" i="16"/>
  <c r="H114" i="7" l="1"/>
  <c r="I42" i="5"/>
  <c r="J42" i="5" s="1"/>
  <c r="I176" i="1" l="1"/>
  <c r="I162" i="1"/>
  <c r="I13" i="9" l="1"/>
  <c r="J13" i="9" s="1"/>
  <c r="I2" i="13"/>
  <c r="J2" i="13" s="1"/>
  <c r="L49" i="1" l="1"/>
  <c r="M49" i="1" s="1"/>
  <c r="L140" i="1" l="1"/>
  <c r="M140" i="1" s="1"/>
  <c r="L124" i="1" l="1"/>
  <c r="M124" i="1" s="1"/>
  <c r="H113" i="7" l="1"/>
  <c r="I12" i="9" l="1"/>
  <c r="J12" i="9" s="1"/>
  <c r="H52" i="4" l="1"/>
  <c r="H112" i="7"/>
  <c r="L91" i="1" l="1"/>
  <c r="M91" i="1" s="1"/>
  <c r="L120" i="1"/>
  <c r="M120" i="1" s="1"/>
  <c r="L137" i="1"/>
  <c r="M137" i="1" s="1"/>
  <c r="L125" i="1"/>
  <c r="M125" i="1" s="1"/>
  <c r="H111" i="7" l="1"/>
  <c r="H110" i="7" l="1"/>
  <c r="H46" i="4" l="1"/>
  <c r="H24" i="4" l="1"/>
  <c r="I11" i="9"/>
  <c r="J11" i="9" s="1"/>
  <c r="G7" i="8" l="1"/>
  <c r="G6" i="8" l="1"/>
  <c r="I10" i="9" l="1"/>
  <c r="J10" i="9" s="1"/>
  <c r="I17" i="9" l="1"/>
  <c r="J17" i="9" s="1"/>
  <c r="I160" i="1"/>
  <c r="I175" i="1" l="1"/>
  <c r="I159" i="1"/>
  <c r="I158" i="1"/>
  <c r="I170" i="1"/>
  <c r="I169" i="1"/>
  <c r="I161" i="1"/>
  <c r="L105" i="1"/>
  <c r="M105" i="1" s="1"/>
  <c r="H78" i="4"/>
  <c r="H76" i="4"/>
  <c r="H75" i="4"/>
  <c r="H109" i="7"/>
  <c r="H108" i="7"/>
  <c r="H107" i="7"/>
  <c r="H106" i="7"/>
  <c r="H105" i="7"/>
  <c r="H42" i="4" l="1"/>
  <c r="H54" i="4"/>
  <c r="H36" i="4" l="1"/>
  <c r="H35" i="4"/>
  <c r="H34" i="4"/>
  <c r="H44" i="4" l="1"/>
  <c r="H48" i="4"/>
  <c r="H47" i="4"/>
  <c r="H49" i="4"/>
  <c r="H59" i="4"/>
  <c r="H56" i="4"/>
  <c r="H55" i="4"/>
  <c r="I36" i="5" l="1"/>
  <c r="J36" i="5" s="1"/>
  <c r="I16" i="9"/>
  <c r="J16" i="9" s="1"/>
  <c r="L127" i="1" l="1"/>
  <c r="M127" i="1" s="1"/>
  <c r="I40" i="5" l="1"/>
  <c r="J40" i="5" s="1"/>
  <c r="H104" i="7"/>
  <c r="H103" i="7"/>
  <c r="H102" i="7"/>
  <c r="H101" i="7"/>
  <c r="H39" i="4" l="1"/>
  <c r="H22" i="4"/>
  <c r="L131" i="1" l="1"/>
  <c r="M131" i="1" s="1"/>
  <c r="H58" i="4" l="1"/>
  <c r="H27" i="4"/>
  <c r="H43" i="4"/>
  <c r="H40" i="4"/>
  <c r="H53" i="4"/>
  <c r="H18" i="4"/>
  <c r="L130" i="1" l="1"/>
  <c r="M130" i="1" s="1"/>
  <c r="L88" i="1"/>
  <c r="M88" i="1" s="1"/>
  <c r="L144" i="1"/>
  <c r="M144" i="1" s="1"/>
  <c r="L129" i="1" l="1"/>
  <c r="M129" i="1" s="1"/>
  <c r="L128" i="1" l="1"/>
  <c r="M128" i="1" s="1"/>
  <c r="L54" i="1" l="1"/>
  <c r="M54" i="1" s="1"/>
  <c r="I148" i="1" l="1"/>
  <c r="I149" i="1"/>
  <c r="H60" i="4"/>
  <c r="H50" i="4"/>
  <c r="H72" i="4"/>
  <c r="H100" i="7" l="1"/>
  <c r="H99" i="7" l="1"/>
  <c r="L100" i="1" l="1"/>
  <c r="M100" i="1" s="1"/>
  <c r="H70" i="4" l="1"/>
  <c r="H33" i="4"/>
  <c r="H38" i="4"/>
  <c r="H29" i="4"/>
  <c r="H15" i="4"/>
  <c r="G5" i="8"/>
  <c r="I140" i="1"/>
  <c r="L51" i="1" l="1"/>
  <c r="M51" i="1" s="1"/>
  <c r="L117" i="1" l="1"/>
  <c r="M117" i="1" s="1"/>
  <c r="I117" i="1"/>
  <c r="L102" i="1"/>
  <c r="M102" i="1" s="1"/>
  <c r="L104" i="1" l="1"/>
  <c r="M104" i="1" s="1"/>
  <c r="H98" i="7" l="1"/>
  <c r="H97" i="7"/>
  <c r="H30" i="4"/>
  <c r="H37" i="4"/>
  <c r="I109" i="1"/>
  <c r="I108" i="1"/>
  <c r="I141" i="1"/>
  <c r="I153" i="1"/>
  <c r="L73" i="1" l="1"/>
  <c r="M73" i="1" s="1"/>
  <c r="L116" i="1"/>
  <c r="M116" i="1" s="1"/>
  <c r="I116" i="1"/>
  <c r="L99" i="1" l="1"/>
  <c r="M99" i="1" s="1"/>
  <c r="H96" i="7" l="1"/>
  <c r="H95" i="7"/>
  <c r="H94" i="7"/>
  <c r="I152" i="1" l="1"/>
  <c r="I151" i="1"/>
  <c r="I150" i="1"/>
  <c r="I135" i="1"/>
  <c r="I157" i="1" l="1"/>
  <c r="I156" i="1"/>
  <c r="I155" i="1" l="1"/>
  <c r="I154" i="1"/>
  <c r="L97" i="1" l="1"/>
  <c r="M97" i="1" s="1"/>
  <c r="L81" i="1" l="1"/>
  <c r="M81" i="1" s="1"/>
  <c r="L42" i="1"/>
  <c r="M42" i="1" s="1"/>
  <c r="I92" i="1" l="1"/>
  <c r="L80" i="1"/>
  <c r="M80" i="1" s="1"/>
  <c r="L79" i="1"/>
  <c r="M79" i="1" s="1"/>
  <c r="L87" i="1"/>
  <c r="M87" i="1" s="1"/>
  <c r="G4" i="8"/>
  <c r="H51" i="4"/>
  <c r="H66" i="4"/>
  <c r="H65" i="4"/>
  <c r="H64" i="4"/>
  <c r="H57" i="4"/>
  <c r="H26" i="4"/>
  <c r="H62" i="4"/>
  <c r="H32" i="4"/>
  <c r="H25" i="4"/>
  <c r="H93" i="7"/>
  <c r="H92" i="7"/>
  <c r="H91" i="7"/>
  <c r="H90" i="7"/>
  <c r="I146" i="1"/>
  <c r="L86" i="1"/>
  <c r="M86" i="1" s="1"/>
  <c r="K38" i="7" l="1"/>
  <c r="L38" i="7" s="1"/>
  <c r="I147" i="1" l="1"/>
  <c r="I128" i="1" l="1"/>
  <c r="L29" i="1" l="1"/>
  <c r="M29" i="1" s="1"/>
  <c r="I35" i="5" l="1"/>
  <c r="J35" i="5" s="1"/>
  <c r="I84" i="1"/>
  <c r="I83" i="1"/>
  <c r="I82" i="1"/>
  <c r="I81" i="1"/>
  <c r="I85" i="1"/>
  <c r="I86" i="1"/>
  <c r="I87" i="1"/>
  <c r="L77" i="1"/>
  <c r="M77" i="1" s="1"/>
  <c r="L76" i="1"/>
  <c r="M76" i="1" s="1"/>
  <c r="L75" i="1"/>
  <c r="M75" i="1" s="1"/>
  <c r="H13" i="4"/>
  <c r="I127" i="1"/>
  <c r="I139" i="1"/>
  <c r="I123" i="1"/>
  <c r="I100" i="1" l="1"/>
  <c r="I142" i="1"/>
  <c r="L64" i="1" l="1"/>
  <c r="M64" i="1" s="1"/>
  <c r="L41" i="1" l="1"/>
  <c r="M41" i="1" s="1"/>
  <c r="H16" i="4" l="1"/>
  <c r="I144" i="1"/>
  <c r="H41" i="4" l="1"/>
  <c r="I91" i="1"/>
  <c r="I6" i="9"/>
  <c r="J6" i="9" s="1"/>
  <c r="I120" i="1" l="1"/>
  <c r="I143" i="1"/>
  <c r="L61" i="1" l="1"/>
  <c r="M61" i="1" s="1"/>
  <c r="N4" i="14"/>
  <c r="N3" i="14"/>
  <c r="N2" i="14"/>
  <c r="I2" i="14"/>
  <c r="J2" i="14" s="1"/>
  <c r="L57" i="1"/>
  <c r="M57" i="1" s="1"/>
  <c r="L39" i="1"/>
  <c r="M39" i="1" s="1"/>
  <c r="N7" i="14" l="1"/>
  <c r="N5" i="14"/>
  <c r="N6" i="14" s="1"/>
  <c r="I133" i="1"/>
  <c r="I134" i="1"/>
  <c r="I138" i="1"/>
  <c r="I104" i="1"/>
  <c r="I137" i="1"/>
  <c r="I90" i="1"/>
  <c r="I88" i="1"/>
  <c r="I89" i="1"/>
  <c r="I76" i="1"/>
  <c r="I75" i="1"/>
  <c r="K5" i="4"/>
  <c r="L5" i="4" s="1"/>
  <c r="L67" i="1" l="1"/>
  <c r="M67" i="1" s="1"/>
  <c r="I124" i="1" l="1"/>
  <c r="I122" i="1"/>
  <c r="I112" i="1"/>
  <c r="I136" i="1"/>
  <c r="I113" i="1"/>
  <c r="I102" i="1"/>
  <c r="I111" i="1"/>
  <c r="I110" i="1"/>
  <c r="I101" i="1"/>
  <c r="K7" i="4"/>
  <c r="L7" i="4" s="1"/>
  <c r="H45" i="4" l="1"/>
  <c r="H28" i="4"/>
  <c r="N4" i="13"/>
  <c r="N5" i="13"/>
  <c r="N3" i="13"/>
  <c r="N2" i="13"/>
  <c r="H31" i="4"/>
  <c r="H12" i="4"/>
  <c r="I132" i="1"/>
  <c r="N7" i="13" l="1"/>
  <c r="N6" i="13"/>
  <c r="I72" i="6"/>
  <c r="J72" i="6" s="1"/>
  <c r="I65" i="1"/>
  <c r="I78" i="1"/>
  <c r="I80" i="1"/>
  <c r="I79" i="1"/>
  <c r="G3" i="8"/>
  <c r="G2" i="8"/>
  <c r="I131" i="1"/>
  <c r="I115" i="1"/>
  <c r="I130" i="1"/>
  <c r="I129" i="1"/>
  <c r="I126" i="1"/>
  <c r="I125" i="1"/>
  <c r="L36" i="1" l="1"/>
  <c r="M36" i="1" s="1"/>
  <c r="I98" i="1" l="1"/>
  <c r="I97" i="1"/>
  <c r="I121" i="1"/>
  <c r="L34" i="1"/>
  <c r="M34" i="1" s="1"/>
  <c r="I103" i="1" l="1"/>
  <c r="H23" i="4" l="1"/>
  <c r="I73" i="1" l="1"/>
  <c r="I69" i="1"/>
  <c r="I114" i="1"/>
  <c r="I119" i="1"/>
  <c r="I28" i="5" l="1"/>
  <c r="J28" i="5" s="1"/>
  <c r="I63" i="1"/>
  <c r="L48" i="1" l="1"/>
  <c r="M48" i="1" s="1"/>
  <c r="L31" i="1"/>
  <c r="M31" i="1" s="1"/>
  <c r="I5" i="9"/>
  <c r="J5" i="9" s="1"/>
  <c r="I70" i="1" l="1"/>
  <c r="I68" i="1"/>
  <c r="I67" i="1"/>
  <c r="I99" i="1"/>
  <c r="I77" i="1"/>
  <c r="I31" i="5"/>
  <c r="J31" i="5" s="1"/>
  <c r="L38" i="1"/>
  <c r="M38" i="1" s="1"/>
  <c r="I118" i="1"/>
  <c r="I64" i="1" l="1"/>
  <c r="I72" i="1" l="1"/>
  <c r="I71" i="1"/>
  <c r="K26" i="7" l="1"/>
  <c r="L26" i="7" s="1"/>
  <c r="I66" i="1"/>
  <c r="I107" i="1"/>
  <c r="I58" i="1" l="1"/>
  <c r="I106" i="1" l="1"/>
  <c r="I56" i="1" l="1"/>
  <c r="I105" i="1" l="1"/>
  <c r="I145" i="1" l="1"/>
  <c r="I50" i="1" l="1"/>
  <c r="I45" i="1"/>
  <c r="J45" i="1" s="1"/>
  <c r="L45" i="1" s="1"/>
  <c r="M45" i="1" s="1"/>
  <c r="I44" i="1"/>
  <c r="J44" i="1" s="1"/>
  <c r="L44" i="1" s="1"/>
  <c r="M44" i="1" s="1"/>
  <c r="I43" i="1"/>
  <c r="J43" i="1" s="1"/>
  <c r="L43" i="1" s="1"/>
  <c r="M43" i="1" s="1"/>
  <c r="I42" i="1"/>
  <c r="I29" i="5"/>
  <c r="J29" i="5" s="1"/>
  <c r="I96" i="1"/>
  <c r="I95" i="1"/>
  <c r="L37" i="1"/>
  <c r="M37" i="1" s="1"/>
  <c r="H89" i="7"/>
  <c r="I60" i="1"/>
  <c r="I54" i="1"/>
  <c r="I94" i="1"/>
  <c r="I93" i="1"/>
  <c r="L26" i="1" l="1"/>
  <c r="M26" i="1" s="1"/>
  <c r="L2" i="1" l="1"/>
  <c r="L16" i="1"/>
  <c r="L20" i="1"/>
  <c r="L52" i="1"/>
  <c r="L33" i="1"/>
  <c r="L27" i="1"/>
  <c r="L30" i="1"/>
  <c r="M30" i="1" s="1"/>
  <c r="H21" i="4" l="1"/>
  <c r="I53" i="1" l="1"/>
  <c r="J53" i="1" s="1"/>
  <c r="L53" i="1" s="1"/>
  <c r="M53" i="1" s="1"/>
  <c r="H11" i="4" l="1"/>
  <c r="H20" i="4"/>
  <c r="M52" i="1" l="1"/>
  <c r="H88" i="7" l="1"/>
  <c r="H87" i="7"/>
  <c r="I25" i="5" l="1"/>
  <c r="J25" i="5" s="1"/>
  <c r="I30" i="5"/>
  <c r="J30" i="5" s="1"/>
  <c r="I55" i="1" l="1"/>
  <c r="H19" i="4" l="1"/>
  <c r="H17" i="4"/>
  <c r="H86" i="7"/>
  <c r="I59" i="1" l="1"/>
  <c r="I74" i="1"/>
  <c r="Q5" i="4" l="1"/>
  <c r="Q4" i="4"/>
  <c r="Q3" i="4"/>
  <c r="O5" i="8"/>
  <c r="O4" i="8"/>
  <c r="O3" i="8"/>
  <c r="O2" i="8"/>
  <c r="N2" i="9"/>
  <c r="I4" i="9"/>
  <c r="J4" i="9" s="1"/>
  <c r="N4" i="9"/>
  <c r="I24" i="5"/>
  <c r="J24" i="5" s="1"/>
  <c r="I26" i="5"/>
  <c r="J26" i="5" s="1"/>
  <c r="N4" i="5"/>
  <c r="G42" i="6"/>
  <c r="I42" i="6" s="1"/>
  <c r="J42" i="6" s="1"/>
  <c r="R4" i="1"/>
  <c r="H6" i="4"/>
  <c r="H7" i="4"/>
  <c r="H9" i="4"/>
  <c r="H10" i="4"/>
  <c r="H8" i="4"/>
  <c r="H5" i="4"/>
  <c r="H14" i="4"/>
  <c r="H3" i="4"/>
  <c r="H4" i="4"/>
  <c r="H2" i="4"/>
  <c r="O7" i="8" l="1"/>
  <c r="O6" i="8"/>
  <c r="Q6" i="4"/>
  <c r="Q2" i="4"/>
  <c r="N4" i="6"/>
  <c r="N5" i="5"/>
  <c r="N3" i="5"/>
  <c r="N2" i="5"/>
  <c r="N5" i="9"/>
  <c r="N3" i="9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I70" i="7" s="1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K57" i="7" s="1"/>
  <c r="L57" i="7" s="1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P3" i="7"/>
  <c r="B2" i="10" s="1"/>
  <c r="H3" i="7"/>
  <c r="H2" i="7"/>
  <c r="N5" i="6"/>
  <c r="N3" i="6"/>
  <c r="I62" i="1"/>
  <c r="I57" i="1"/>
  <c r="I61" i="1"/>
  <c r="I52" i="1"/>
  <c r="I51" i="1"/>
  <c r="I36" i="1"/>
  <c r="I35" i="1"/>
  <c r="I33" i="1"/>
  <c r="M33" i="1" s="1"/>
  <c r="I34" i="1"/>
  <c r="I29" i="1"/>
  <c r="I49" i="1"/>
  <c r="I48" i="1"/>
  <c r="I47" i="1"/>
  <c r="I41" i="1"/>
  <c r="I46" i="1"/>
  <c r="I40" i="1"/>
  <c r="I39" i="1"/>
  <c r="I38" i="1"/>
  <c r="I37" i="1"/>
  <c r="I28" i="1"/>
  <c r="I27" i="1"/>
  <c r="M27" i="1" s="1"/>
  <c r="I26" i="1"/>
  <c r="Q7" i="4" l="1"/>
  <c r="N6" i="9"/>
  <c r="K70" i="7"/>
  <c r="L70" i="7" s="1"/>
  <c r="P4" i="7"/>
  <c r="N6" i="6"/>
  <c r="J35" i="1"/>
  <c r="L35" i="1" s="1"/>
  <c r="M35" i="1" s="1"/>
  <c r="J28" i="1"/>
  <c r="L28" i="1" s="1"/>
  <c r="M28" i="1" s="1"/>
  <c r="P2" i="7"/>
  <c r="N7" i="9"/>
  <c r="N7" i="5"/>
  <c r="N6" i="5"/>
  <c r="N2" i="6"/>
  <c r="N7" i="6" s="1"/>
  <c r="I21" i="1"/>
  <c r="I20" i="1"/>
  <c r="M20" i="1" s="1"/>
  <c r="I19" i="1"/>
  <c r="J19" i="1" s="1"/>
  <c r="L19" i="1" s="1"/>
  <c r="M19" i="1" s="1"/>
  <c r="I24" i="1"/>
  <c r="I25" i="1"/>
  <c r="I23" i="1"/>
  <c r="I18" i="1"/>
  <c r="I22" i="1"/>
  <c r="I32" i="1"/>
  <c r="I31" i="1"/>
  <c r="I30" i="1"/>
  <c r="I17" i="1"/>
  <c r="I16" i="1"/>
  <c r="M16" i="1" s="1"/>
  <c r="I15" i="1"/>
  <c r="I14" i="1"/>
  <c r="I13" i="1"/>
  <c r="I12" i="1"/>
  <c r="I11" i="1"/>
  <c r="I10" i="1"/>
  <c r="I9" i="1"/>
  <c r="J9" i="1" s="1"/>
  <c r="L9" i="1" s="1"/>
  <c r="I8" i="1"/>
  <c r="J8" i="1" s="1"/>
  <c r="L8" i="1" s="1"/>
  <c r="I7" i="1"/>
  <c r="I6" i="1"/>
  <c r="I5" i="1"/>
  <c r="I4" i="1"/>
  <c r="I3" i="1"/>
  <c r="P7" i="7" l="1"/>
  <c r="P5" i="7"/>
  <c r="J14" i="1"/>
  <c r="L14" i="1" s="1"/>
  <c r="J24" i="1"/>
  <c r="L24" i="1" s="1"/>
  <c r="J15" i="1"/>
  <c r="L15" i="1" s="1"/>
  <c r="J23" i="1"/>
  <c r="L23" i="1" s="1"/>
  <c r="J22" i="1"/>
  <c r="L22" i="1" s="1"/>
  <c r="M8" i="1"/>
  <c r="M9" i="1"/>
  <c r="I2" i="1"/>
  <c r="M2" i="1" s="1"/>
  <c r="P6" i="7" l="1"/>
  <c r="R5" i="1"/>
  <c r="B3" i="10" s="1"/>
  <c r="M15" i="1"/>
  <c r="M14" i="1"/>
  <c r="M22" i="1"/>
  <c r="M23" i="1"/>
  <c r="M24" i="1"/>
  <c r="R6" i="1"/>
  <c r="B4" i="10" s="1"/>
  <c r="R3" i="1"/>
  <c r="B1" i="10" s="1"/>
  <c r="B5" i="10" l="1"/>
  <c r="R7" i="1"/>
  <c r="R8" i="1"/>
  <c r="B6" i="10" s="1"/>
</calcChain>
</file>

<file path=xl/sharedStrings.xml><?xml version="1.0" encoding="utf-8"?>
<sst xmlns="http://schemas.openxmlformats.org/spreadsheetml/2006/main" count="8715" uniqueCount="1774">
  <si>
    <t>名称</t>
    <phoneticPr fontId="1"/>
  </si>
  <si>
    <t>购入价格</t>
    <phoneticPr fontId="1"/>
  </si>
  <si>
    <t>状态</t>
    <phoneticPr fontId="1"/>
  </si>
  <si>
    <t>卖出价格</t>
    <phoneticPr fontId="1"/>
  </si>
  <si>
    <t>卖出</t>
    <phoneticPr fontId="1"/>
  </si>
  <si>
    <t>留存</t>
    <phoneticPr fontId="1"/>
  </si>
  <si>
    <t>运费</t>
    <phoneticPr fontId="1"/>
  </si>
  <si>
    <t>买时状态</t>
    <phoneticPr fontId="1"/>
  </si>
  <si>
    <t>全新</t>
    <phoneticPr fontId="1"/>
  </si>
  <si>
    <t>拆摆</t>
    <phoneticPr fontId="1"/>
  </si>
  <si>
    <t>缴税</t>
    <phoneticPr fontId="1"/>
  </si>
  <si>
    <t>总价</t>
    <phoneticPr fontId="1"/>
  </si>
  <si>
    <t>IP</t>
    <phoneticPr fontId="1"/>
  </si>
  <si>
    <t>龙珠</t>
    <phoneticPr fontId="1"/>
  </si>
  <si>
    <t>鬼灭之刃</t>
    <phoneticPr fontId="1"/>
  </si>
  <si>
    <t>沙漠大冒险</t>
    <phoneticPr fontId="1"/>
  </si>
  <si>
    <t>总花销</t>
    <phoneticPr fontId="1"/>
  </si>
  <si>
    <t>总卖出</t>
    <phoneticPr fontId="1"/>
  </si>
  <si>
    <t>实际支出</t>
    <phoneticPr fontId="1"/>
  </si>
  <si>
    <t>偶像大师灰姑娘女孩</t>
    <phoneticPr fontId="1"/>
  </si>
  <si>
    <t>宫本芙蕾德莉卡</t>
    <phoneticPr fontId="1"/>
  </si>
  <si>
    <t>lb贝吉塔</t>
    <phoneticPr fontId="1"/>
  </si>
  <si>
    <t>备注</t>
    <phoneticPr fontId="1"/>
  </si>
  <si>
    <t>无桩</t>
    <phoneticPr fontId="1"/>
  </si>
  <si>
    <t>特典版</t>
    <phoneticPr fontId="1"/>
  </si>
  <si>
    <t>普通版</t>
    <phoneticPr fontId="1"/>
  </si>
  <si>
    <t>set</t>
    <phoneticPr fontId="1"/>
  </si>
  <si>
    <t>数码宝贝</t>
    <phoneticPr fontId="1"/>
  </si>
  <si>
    <t>机械邪龙</t>
    <phoneticPr fontId="1"/>
  </si>
  <si>
    <t>拆摆</t>
  </si>
  <si>
    <t>兰琪</t>
    <phoneticPr fontId="1"/>
  </si>
  <si>
    <t>系列名称</t>
    <phoneticPr fontId="1"/>
  </si>
  <si>
    <t>悟空</t>
    <phoneticPr fontId="1"/>
  </si>
  <si>
    <t>超赛贝吉塔</t>
    <phoneticPr fontId="1"/>
  </si>
  <si>
    <t>人造人18号</t>
    <phoneticPr fontId="1"/>
  </si>
  <si>
    <t>武道会3</t>
    <phoneticPr fontId="1"/>
  </si>
  <si>
    <t>龟仙人</t>
    <phoneticPr fontId="1"/>
  </si>
  <si>
    <t>宇航服悟饭克林</t>
    <phoneticPr fontId="1"/>
  </si>
  <si>
    <t>一番赏</t>
    <phoneticPr fontId="1"/>
  </si>
  <si>
    <t>棍空C赏</t>
    <phoneticPr fontId="1"/>
  </si>
  <si>
    <t>SMSP</t>
    <phoneticPr fontId="1"/>
  </si>
  <si>
    <t>超赛特兰克斯</t>
    <phoneticPr fontId="1"/>
  </si>
  <si>
    <t>甘露寺蜜璃A赏</t>
    <phoneticPr fontId="1"/>
  </si>
  <si>
    <t>时透无一郎B赏</t>
    <phoneticPr fontId="1"/>
  </si>
  <si>
    <t>多多利亚</t>
    <phoneticPr fontId="1"/>
  </si>
  <si>
    <t>贝尔杰布A赏</t>
    <phoneticPr fontId="1"/>
  </si>
  <si>
    <t>特兰克斯</t>
    <phoneticPr fontId="1"/>
  </si>
  <si>
    <t>弗利萨第二形态</t>
    <phoneticPr fontId="1"/>
  </si>
  <si>
    <t>弗利萨第三形态</t>
    <phoneticPr fontId="1"/>
  </si>
  <si>
    <t>宇航服布玛</t>
    <phoneticPr fontId="1"/>
  </si>
  <si>
    <t>大长老</t>
    <phoneticPr fontId="1"/>
  </si>
  <si>
    <t>邱夷</t>
    <phoneticPr fontId="1"/>
  </si>
  <si>
    <t>牛魔王</t>
    <phoneticPr fontId="1"/>
  </si>
  <si>
    <t>武道会2</t>
    <phoneticPr fontId="1"/>
  </si>
  <si>
    <t>吐蛋比克</t>
    <phoneticPr fontId="1"/>
  </si>
  <si>
    <t>内鲁</t>
    <phoneticPr fontId="1"/>
  </si>
  <si>
    <t>小布欧+赛亚超人</t>
    <phoneticPr fontId="1"/>
  </si>
  <si>
    <t>比克大魔王</t>
    <phoneticPr fontId="1"/>
  </si>
  <si>
    <t>基纽特战队</t>
    <phoneticPr fontId="1"/>
  </si>
  <si>
    <t>基纽</t>
    <phoneticPr fontId="1"/>
  </si>
  <si>
    <t>一番赏</t>
    <phoneticPr fontId="1"/>
  </si>
  <si>
    <t>武道会</t>
    <phoneticPr fontId="1"/>
  </si>
  <si>
    <t>悟天克斯</t>
    <phoneticPr fontId="1"/>
  </si>
  <si>
    <t>虎皮悟空</t>
    <phoneticPr fontId="1"/>
  </si>
  <si>
    <t>打伞悟空</t>
    <phoneticPr fontId="1"/>
  </si>
  <si>
    <t>善逸</t>
    <phoneticPr fontId="1"/>
  </si>
  <si>
    <t>布玛</t>
    <phoneticPr fontId="1"/>
  </si>
  <si>
    <t>武道会4</t>
    <phoneticPr fontId="1"/>
  </si>
  <si>
    <t>胖布欧</t>
    <phoneticPr fontId="1"/>
  </si>
  <si>
    <t>造型驿传</t>
    <phoneticPr fontId="1"/>
  </si>
  <si>
    <t>父子摸头</t>
    <phoneticPr fontId="1"/>
  </si>
  <si>
    <t>超像</t>
    <phoneticPr fontId="1"/>
  </si>
  <si>
    <t>贝吉塔大猿</t>
    <phoneticPr fontId="1"/>
  </si>
  <si>
    <t>野兽悟饭</t>
    <phoneticPr fontId="1"/>
  </si>
  <si>
    <t>桃红悟空</t>
    <phoneticPr fontId="1"/>
  </si>
  <si>
    <t>Gxmateria</t>
    <phoneticPr fontId="1"/>
  </si>
  <si>
    <t>弗利萨</t>
    <phoneticPr fontId="1"/>
  </si>
  <si>
    <t>Grandista</t>
    <phoneticPr fontId="1"/>
  </si>
  <si>
    <t>初版</t>
    <phoneticPr fontId="1"/>
  </si>
  <si>
    <t>桃白白</t>
    <phoneticPr fontId="1"/>
  </si>
  <si>
    <t>休闲服悟空</t>
    <phoneticPr fontId="1"/>
  </si>
  <si>
    <r>
      <t>那巴</t>
    </r>
    <r>
      <rPr>
        <sz val="11"/>
        <color theme="1"/>
        <rFont val="Microsoft YaHei"/>
        <family val="2"/>
      </rPr>
      <t>最终赏</t>
    </r>
    <phoneticPr fontId="1"/>
  </si>
  <si>
    <t>红发贝吉塔+小芳</t>
    <phoneticPr fontId="1"/>
  </si>
  <si>
    <t>肌肉沙鲁</t>
    <phoneticPr fontId="1"/>
  </si>
  <si>
    <t>set</t>
    <phoneticPr fontId="1"/>
  </si>
  <si>
    <t>必杀技</t>
    <phoneticPr fontId="1"/>
  </si>
  <si>
    <t>蓝发贝吉塔+扎马斯</t>
    <phoneticPr fontId="1"/>
  </si>
  <si>
    <t>龟派气功孙悟空</t>
    <phoneticPr fontId="1"/>
  </si>
  <si>
    <t>贝吉塔</t>
    <phoneticPr fontId="1"/>
  </si>
  <si>
    <t>盒损内袋未拆</t>
    <phoneticPr fontId="1"/>
  </si>
  <si>
    <t>BWFC</t>
    <phoneticPr fontId="1"/>
  </si>
  <si>
    <t>Collection</t>
    <phoneticPr fontId="1"/>
  </si>
  <si>
    <t>MSP</t>
    <phoneticPr fontId="1"/>
  </si>
  <si>
    <t>HG</t>
    <phoneticPr fontId="1"/>
  </si>
  <si>
    <t>MSP</t>
    <phoneticPr fontId="1"/>
  </si>
  <si>
    <t>LC</t>
    <phoneticPr fontId="1"/>
  </si>
  <si>
    <t>PLEX</t>
    <phoneticPr fontId="1"/>
  </si>
  <si>
    <t>军装悟空</t>
    <phoneticPr fontId="1"/>
  </si>
  <si>
    <t>第三任务贝吉特</t>
    <phoneticPr fontId="1"/>
  </si>
  <si>
    <t>超赛孙悟饭</t>
    <phoneticPr fontId="1"/>
  </si>
  <si>
    <t>闪耀魅力</t>
    <phoneticPr fontId="1"/>
  </si>
  <si>
    <t>FES</t>
    <phoneticPr fontId="1"/>
  </si>
  <si>
    <t>14悟空</t>
    <phoneticPr fontId="1"/>
  </si>
  <si>
    <t>GALS</t>
    <phoneticPr fontId="1"/>
  </si>
  <si>
    <t>Blitzway</t>
    <phoneticPr fontId="1"/>
  </si>
  <si>
    <t>9号胶囊机车</t>
    <phoneticPr fontId="1"/>
  </si>
  <si>
    <t>金发兰琪</t>
    <phoneticPr fontId="1"/>
  </si>
  <si>
    <t>比迪丽</t>
    <phoneticPr fontId="1"/>
  </si>
  <si>
    <t>兔女郎布玛</t>
    <phoneticPr fontId="1"/>
  </si>
  <si>
    <t>机车兰琪</t>
    <phoneticPr fontId="1"/>
  </si>
  <si>
    <t>黑发悟空</t>
    <phoneticPr fontId="1"/>
  </si>
  <si>
    <t>蓝发贝吉特+蓝发悟吉塔</t>
    <phoneticPr fontId="1"/>
  </si>
  <si>
    <t>超赛悟空</t>
    <phoneticPr fontId="1"/>
  </si>
  <si>
    <t>筋斗云小悟空</t>
    <phoneticPr fontId="1"/>
  </si>
  <si>
    <t>红衣</t>
    <phoneticPr fontId="1"/>
  </si>
  <si>
    <t>紫衣</t>
    <phoneticPr fontId="1"/>
  </si>
  <si>
    <t>卖出</t>
  </si>
  <si>
    <t>50th</t>
    <phoneticPr fontId="1"/>
  </si>
  <si>
    <t>宇宙服悟空</t>
    <phoneticPr fontId="1"/>
  </si>
  <si>
    <t>丹迪</t>
    <phoneticPr fontId="1"/>
  </si>
  <si>
    <t>双封</t>
    <phoneticPr fontId="1"/>
  </si>
  <si>
    <t>CS</t>
    <phoneticPr fontId="1"/>
  </si>
  <si>
    <t>孙悟饭爷爷</t>
    <phoneticPr fontId="1"/>
  </si>
  <si>
    <t>肌肉悟空</t>
    <phoneticPr fontId="1"/>
  </si>
  <si>
    <t>棍空A赏</t>
    <phoneticPr fontId="1"/>
  </si>
  <si>
    <t>无桩</t>
    <phoneticPr fontId="1"/>
  </si>
  <si>
    <t>CW</t>
    <phoneticPr fontId="1"/>
  </si>
  <si>
    <t>Vibrastar</t>
    <phoneticPr fontId="1"/>
  </si>
  <si>
    <t>井上鸢</t>
    <phoneticPr fontId="1"/>
  </si>
  <si>
    <t>邪念波</t>
    <phoneticPr fontId="1"/>
  </si>
  <si>
    <t>抬头龙1.0</t>
    <phoneticPr fontId="1"/>
  </si>
  <si>
    <t>无盒</t>
    <phoneticPr fontId="1"/>
  </si>
  <si>
    <t>龟仙流龟仙人</t>
    <phoneticPr fontId="1"/>
  </si>
  <si>
    <t>悟吉塔</t>
    <phoneticPr fontId="1"/>
  </si>
  <si>
    <t>自在极意</t>
    <phoneticPr fontId="1"/>
  </si>
  <si>
    <t>比鲁斯</t>
    <phoneticPr fontId="1"/>
  </si>
  <si>
    <t>一星龙</t>
    <phoneticPr fontId="1"/>
  </si>
  <si>
    <t>肌肉小悟饭</t>
    <phoneticPr fontId="1"/>
  </si>
  <si>
    <t>FLARE</t>
    <phoneticPr fontId="1"/>
  </si>
  <si>
    <t>格温多琳</t>
    <phoneticPr fontId="1"/>
  </si>
  <si>
    <t>奥丁领域</t>
    <phoneticPr fontId="1"/>
  </si>
  <si>
    <t>自爆弗利萨</t>
    <phoneticPr fontId="1"/>
  </si>
  <si>
    <t>红色兔女郎索尼子</t>
    <phoneticPr fontId="1"/>
  </si>
  <si>
    <t>FuRyu</t>
    <phoneticPr fontId="1"/>
  </si>
  <si>
    <t>蓝色兔女郎索尼子</t>
    <phoneticPr fontId="1"/>
  </si>
  <si>
    <t>SEGA</t>
    <phoneticPr fontId="1"/>
  </si>
  <si>
    <t>黑色兔女郎索尼子</t>
    <phoneticPr fontId="1"/>
  </si>
  <si>
    <t>世界计划多彩舞台 初音未来</t>
    <phoneticPr fontId="1"/>
  </si>
  <si>
    <t>激突 超赛悟空</t>
    <phoneticPr fontId="1"/>
  </si>
  <si>
    <t>弗利萨婴儿车</t>
    <phoneticPr fontId="1"/>
  </si>
  <si>
    <t>地球贝吉塔</t>
    <phoneticPr fontId="1"/>
  </si>
  <si>
    <t>界王拳悟空</t>
    <phoneticPr fontId="1"/>
  </si>
  <si>
    <t>肌肉特兰克斯</t>
    <phoneticPr fontId="1"/>
  </si>
  <si>
    <t>ROS</t>
    <phoneticPr fontId="1"/>
  </si>
  <si>
    <t>皮拉夫大王</t>
    <phoneticPr fontId="1"/>
  </si>
  <si>
    <t>比克家族</t>
    <phoneticPr fontId="1"/>
  </si>
  <si>
    <t>小沙鲁</t>
    <phoneticPr fontId="1"/>
  </si>
  <si>
    <t>B款</t>
    <phoneticPr fontId="1"/>
  </si>
  <si>
    <t>小舞阿修</t>
    <phoneticPr fontId="1"/>
  </si>
  <si>
    <t>悟饭</t>
    <phoneticPr fontId="1"/>
  </si>
  <si>
    <t>如意棒小悟空</t>
    <phoneticPr fontId="1"/>
  </si>
  <si>
    <t>漫画色超赛悟空</t>
    <phoneticPr fontId="1"/>
  </si>
  <si>
    <t>漫画色黑发贝吉塔</t>
    <phoneticPr fontId="1"/>
  </si>
  <si>
    <t>机械弗利萨</t>
    <phoneticPr fontId="1"/>
  </si>
  <si>
    <t>漫画色超赛贝吉塔</t>
    <phoneticPr fontId="1"/>
  </si>
  <si>
    <t>祖国</t>
    <phoneticPr fontId="1"/>
  </si>
  <si>
    <t>库尔德王</t>
    <phoneticPr fontId="1"/>
  </si>
  <si>
    <t>三头胖布欧</t>
    <phoneticPr fontId="1"/>
  </si>
  <si>
    <t>4形态弗利萨</t>
    <phoneticPr fontId="1"/>
  </si>
  <si>
    <t>琪琪</t>
    <phoneticPr fontId="1"/>
  </si>
  <si>
    <t>五月人形</t>
    <phoneticPr fontId="1"/>
  </si>
  <si>
    <t>盔甲小悟空</t>
    <phoneticPr fontId="1"/>
  </si>
  <si>
    <t>炭治郎</t>
    <phoneticPr fontId="1"/>
  </si>
  <si>
    <t>伊之助</t>
    <phoneticPr fontId="1"/>
  </si>
  <si>
    <t>气功波悟饭</t>
    <phoneticPr fontId="1"/>
  </si>
  <si>
    <t>历史盒子</t>
    <phoneticPr fontId="1"/>
  </si>
  <si>
    <t>小悟空</t>
    <phoneticPr fontId="1"/>
  </si>
  <si>
    <t>巴达克</t>
    <phoneticPr fontId="1"/>
  </si>
  <si>
    <t>SMSD</t>
    <phoneticPr fontId="1"/>
  </si>
  <si>
    <t>爆气悟空</t>
    <phoneticPr fontId="1"/>
  </si>
  <si>
    <t>黑悟空</t>
    <phoneticPr fontId="1"/>
  </si>
  <si>
    <t>黑发悟吉塔</t>
    <phoneticPr fontId="1"/>
  </si>
  <si>
    <t>人造人17号</t>
    <phoneticPr fontId="1"/>
  </si>
  <si>
    <t>蓝衣白裤弯腰</t>
    <phoneticPr fontId="1"/>
  </si>
  <si>
    <t>站姿</t>
    <phoneticPr fontId="1"/>
  </si>
  <si>
    <t>机枪兰琪</t>
    <phoneticPr fontId="1"/>
  </si>
  <si>
    <t>绿色</t>
    <phoneticPr fontId="1"/>
  </si>
  <si>
    <t>超4悟空04色</t>
    <phoneticPr fontId="1"/>
  </si>
  <si>
    <t>蹲姿</t>
    <phoneticPr fontId="1"/>
  </si>
  <si>
    <t>燃烧的战士</t>
    <phoneticPr fontId="1"/>
  </si>
  <si>
    <t>踩波悟空</t>
    <phoneticPr fontId="1"/>
  </si>
  <si>
    <t>蹲姿巴达克04色</t>
    <phoneticPr fontId="1"/>
  </si>
  <si>
    <t>蹲姿巴达克03色</t>
    <phoneticPr fontId="1"/>
  </si>
  <si>
    <t>龙王的工作</t>
    <phoneticPr fontId="1"/>
  </si>
  <si>
    <t>空银子</t>
    <phoneticPr fontId="1"/>
  </si>
  <si>
    <t>Alter</t>
    <phoneticPr fontId="1"/>
  </si>
  <si>
    <t>青春期猪头少年不做兔女郎学姐的梦</t>
    <phoneticPr fontId="1"/>
  </si>
  <si>
    <t>樱岛麻衣</t>
    <phoneticPr fontId="1"/>
  </si>
  <si>
    <t>人造人16号</t>
    <phoneticPr fontId="1"/>
  </si>
  <si>
    <t>黄金弗利萨</t>
    <phoneticPr fontId="1"/>
  </si>
  <si>
    <t>压盒</t>
    <phoneticPr fontId="1"/>
  </si>
  <si>
    <t>完全体沙鲁</t>
    <phoneticPr fontId="1"/>
  </si>
  <si>
    <t>已拆</t>
    <phoneticPr fontId="1"/>
  </si>
  <si>
    <t>棍子小悟空</t>
    <phoneticPr fontId="1"/>
  </si>
  <si>
    <t>地球悟饭</t>
    <phoneticPr fontId="1"/>
  </si>
  <si>
    <t>人造人19号</t>
    <phoneticPr fontId="1"/>
  </si>
  <si>
    <t>人造人20号</t>
    <phoneticPr fontId="1"/>
  </si>
  <si>
    <t>父子抱A赏</t>
    <phoneticPr fontId="1"/>
  </si>
  <si>
    <t>沙鲁一形态</t>
    <phoneticPr fontId="1"/>
  </si>
  <si>
    <t>地球龟仙人</t>
    <phoneticPr fontId="1"/>
  </si>
  <si>
    <t>地球天津饭</t>
    <phoneticPr fontId="1"/>
  </si>
  <si>
    <t>常态特兰克斯</t>
    <phoneticPr fontId="1"/>
  </si>
  <si>
    <t>地球饺子</t>
    <phoneticPr fontId="1"/>
  </si>
  <si>
    <t>达列斯</t>
    <phoneticPr fontId="1"/>
  </si>
  <si>
    <t>L赏布罗利</t>
    <phoneticPr fontId="1"/>
  </si>
  <si>
    <t>肥龙D赏布罗利</t>
    <phoneticPr fontId="1"/>
  </si>
  <si>
    <t>蹲姿巴达克01色</t>
    <phoneticPr fontId="1"/>
  </si>
  <si>
    <t>nero巴达克</t>
    <phoneticPr fontId="1"/>
  </si>
  <si>
    <t>小布欧</t>
    <phoneticPr fontId="1"/>
  </si>
  <si>
    <t>超3</t>
    <phoneticPr fontId="1"/>
  </si>
  <si>
    <t>特兰克斯vs弗利萨</t>
    <phoneticPr fontId="1"/>
  </si>
  <si>
    <t>书包芳芳</t>
    <phoneticPr fontId="1"/>
  </si>
  <si>
    <t>曼达洛人</t>
    <phoneticPr fontId="1"/>
  </si>
  <si>
    <t>贝斯卡金属盔甲</t>
    <phoneticPr fontId="1"/>
  </si>
  <si>
    <t>沙鲁全形态</t>
    <phoneticPr fontId="1"/>
  </si>
  <si>
    <t>SHF</t>
    <phoneticPr fontId="1"/>
  </si>
  <si>
    <t>婴儿车弗利萨</t>
    <phoneticPr fontId="1"/>
  </si>
  <si>
    <t>弗利萨全形态</t>
    <phoneticPr fontId="1"/>
  </si>
  <si>
    <t>桌面系列</t>
    <phoneticPr fontId="1"/>
  </si>
  <si>
    <t>超3龙拳</t>
    <phoneticPr fontId="1"/>
  </si>
  <si>
    <t>龙珠</t>
    <phoneticPr fontId="1"/>
  </si>
  <si>
    <t>FRS</t>
    <phoneticPr fontId="1"/>
  </si>
  <si>
    <t>机械暴龙兽</t>
    <phoneticPr fontId="1"/>
  </si>
  <si>
    <t>出阵</t>
    <phoneticPr fontId="1"/>
  </si>
  <si>
    <r>
      <t>比克</t>
    </r>
    <r>
      <rPr>
        <sz val="11"/>
        <color theme="1"/>
        <rFont val="Microsoft YaHei"/>
        <family val="2"/>
      </rPr>
      <t>A款</t>
    </r>
    <phoneticPr fontId="1"/>
  </si>
  <si>
    <r>
      <t>比克</t>
    </r>
    <r>
      <rPr>
        <sz val="11"/>
        <color theme="1"/>
        <rFont val="Microsoft YaHei"/>
        <family val="2"/>
      </rPr>
      <t>B款</t>
    </r>
    <phoneticPr fontId="1"/>
  </si>
  <si>
    <t>超赛贝吉特</t>
    <phoneticPr fontId="1"/>
  </si>
  <si>
    <t>跳刀特兰克斯</t>
    <phoneticPr fontId="1"/>
  </si>
  <si>
    <t>短笛 魔贯光杀炮</t>
    <phoneticPr fontId="1"/>
  </si>
  <si>
    <t>父子机车</t>
    <phoneticPr fontId="1"/>
  </si>
  <si>
    <t>发波悟空</t>
    <phoneticPr fontId="1"/>
  </si>
  <si>
    <t>12悟空</t>
    <phoneticPr fontId="1"/>
  </si>
  <si>
    <t>孙悟饭</t>
    <phoneticPr fontId="1"/>
  </si>
  <si>
    <t>BOS</t>
    <phoneticPr fontId="1"/>
  </si>
  <si>
    <t>超3悟天克斯</t>
    <phoneticPr fontId="1"/>
  </si>
  <si>
    <t>超3悟空</t>
    <phoneticPr fontId="1"/>
  </si>
  <si>
    <t>羁绊黑发贝吉塔</t>
    <phoneticPr fontId="1"/>
  </si>
  <si>
    <t>羁绊黑发悟空</t>
    <phoneticPr fontId="1"/>
  </si>
  <si>
    <t>水晶球</t>
    <phoneticPr fontId="1"/>
  </si>
  <si>
    <t>预定</t>
    <phoneticPr fontId="1"/>
  </si>
  <si>
    <t>预定，已拆</t>
    <phoneticPr fontId="1"/>
  </si>
  <si>
    <t>新版预定，已拆</t>
    <phoneticPr fontId="1"/>
  </si>
  <si>
    <t>街霸</t>
    <phoneticPr fontId="1"/>
  </si>
  <si>
    <t>拉蒂兹</t>
    <phoneticPr fontId="1"/>
  </si>
  <si>
    <t>海贼王</t>
    <phoneticPr fontId="1"/>
  </si>
  <si>
    <t>悟空全形态</t>
    <phoneticPr fontId="1"/>
  </si>
  <si>
    <t>24年2月</t>
    <phoneticPr fontId="1"/>
  </si>
  <si>
    <t>24年7月</t>
    <phoneticPr fontId="1"/>
  </si>
  <si>
    <t>定金</t>
    <phoneticPr fontId="1"/>
  </si>
  <si>
    <t>尾款</t>
    <phoneticPr fontId="1"/>
  </si>
  <si>
    <t>更衣人偶坠入爱河</t>
    <phoneticPr fontId="1"/>
  </si>
  <si>
    <t>Taito</t>
    <phoneticPr fontId="1"/>
  </si>
  <si>
    <t>喜多川海梦</t>
    <phoneticPr fontId="1"/>
  </si>
  <si>
    <t>130重涂</t>
    <phoneticPr fontId="1"/>
  </si>
  <si>
    <t>WCF</t>
    <phoneticPr fontId="1"/>
  </si>
  <si>
    <t>宝藏1</t>
    <phoneticPr fontId="1"/>
  </si>
  <si>
    <t>6件，留一件</t>
    <phoneticPr fontId="1"/>
  </si>
  <si>
    <t>利润率</t>
    <phoneticPr fontId="1"/>
  </si>
  <si>
    <t>超赛悟空2</t>
    <phoneticPr fontId="1"/>
  </si>
  <si>
    <t>漫画</t>
    <phoneticPr fontId="1"/>
  </si>
  <si>
    <t>萨博</t>
    <phoneticPr fontId="1"/>
  </si>
  <si>
    <t>24年4月</t>
    <phoneticPr fontId="1"/>
  </si>
  <si>
    <t>24年1月</t>
    <phoneticPr fontId="1"/>
  </si>
  <si>
    <t>GSC</t>
    <phoneticPr fontId="1"/>
  </si>
  <si>
    <t>BWFC</t>
    <phoneticPr fontId="1"/>
  </si>
  <si>
    <t>蓝发悟吉塔01色</t>
    <phoneticPr fontId="1"/>
  </si>
  <si>
    <t>状态</t>
    <phoneticPr fontId="1"/>
  </si>
  <si>
    <t>龟仙人</t>
    <phoneticPr fontId="1"/>
  </si>
  <si>
    <t>巴达克</t>
    <phoneticPr fontId="1"/>
  </si>
  <si>
    <t>成本价格</t>
    <phoneticPr fontId="1"/>
  </si>
  <si>
    <t>利润</t>
    <phoneticPr fontId="1"/>
  </si>
  <si>
    <t>总卖出成本</t>
    <phoneticPr fontId="1"/>
  </si>
  <si>
    <t>激突
（小布欧+悟饭+赛亚超人悟饭+达普拉）</t>
    <phoneticPr fontId="1"/>
  </si>
  <si>
    <t>卖出成本</t>
    <phoneticPr fontId="1"/>
  </si>
  <si>
    <t>总卖出成本</t>
    <phoneticPr fontId="1"/>
  </si>
  <si>
    <t>卖否</t>
    <phoneticPr fontId="1"/>
  </si>
  <si>
    <t>卖</t>
    <phoneticPr fontId="1"/>
  </si>
  <si>
    <t>内袋未拆</t>
  </si>
  <si>
    <t>缺沈先生</t>
    <phoneticPr fontId="1"/>
  </si>
  <si>
    <t>一套全</t>
    <phoneticPr fontId="1"/>
  </si>
  <si>
    <t>地球套 档案馆</t>
    <phoneticPr fontId="1"/>
  </si>
  <si>
    <t>弗利萨军团 档案馆</t>
    <phoneticPr fontId="1"/>
  </si>
  <si>
    <t>武道会 档案馆</t>
    <phoneticPr fontId="1"/>
  </si>
  <si>
    <t>摩柯不思议 档案馆</t>
    <phoneticPr fontId="1"/>
  </si>
  <si>
    <t>间谍过家家</t>
    <phoneticPr fontId="1"/>
  </si>
  <si>
    <t>婴儿车阿尼亚</t>
    <phoneticPr fontId="1"/>
  </si>
  <si>
    <t>GK</t>
    <phoneticPr fontId="1"/>
  </si>
  <si>
    <t>未来悟饭</t>
    <phoneticPr fontId="1"/>
  </si>
  <si>
    <t>主公大人面前2</t>
    <phoneticPr fontId="1"/>
  </si>
  <si>
    <t>东方Project</t>
    <phoneticPr fontId="1"/>
  </si>
  <si>
    <t>24年10月</t>
    <phoneticPr fontId="1"/>
  </si>
  <si>
    <t>比克</t>
    <phoneticPr fontId="1"/>
  </si>
  <si>
    <t>LB悟空最终赏</t>
    <phoneticPr fontId="1"/>
  </si>
  <si>
    <t>LB贝吉塔</t>
    <phoneticPr fontId="1"/>
  </si>
  <si>
    <t>外袋有些许破损</t>
    <phoneticPr fontId="1"/>
  </si>
  <si>
    <t>大漫匠</t>
    <phoneticPr fontId="1"/>
  </si>
  <si>
    <t>JK兔女郎·卯之樱</t>
    <phoneticPr fontId="1"/>
  </si>
  <si>
    <t>D.O.D</t>
    <phoneticPr fontId="1"/>
  </si>
  <si>
    <t>布欧</t>
    <phoneticPr fontId="1"/>
  </si>
  <si>
    <t>无盒</t>
    <phoneticPr fontId="1"/>
  </si>
  <si>
    <t>HG</t>
    <phoneticPr fontId="1"/>
  </si>
  <si>
    <t>布欧全形态</t>
    <phoneticPr fontId="1"/>
  </si>
  <si>
    <t>鬼灭之刃</t>
    <phoneticPr fontId="1"/>
  </si>
  <si>
    <t>WCF</t>
    <phoneticPr fontId="1"/>
  </si>
  <si>
    <t>主公大人面前</t>
    <phoneticPr fontId="1"/>
  </si>
  <si>
    <t>炭治郎</t>
    <phoneticPr fontId="1"/>
  </si>
  <si>
    <t>美少女战士</t>
    <phoneticPr fontId="1"/>
  </si>
  <si>
    <t>闪耀魅力</t>
    <phoneticPr fontId="1"/>
  </si>
  <si>
    <t>水兵月</t>
    <phoneticPr fontId="1"/>
  </si>
  <si>
    <t>留存</t>
  </si>
  <si>
    <t>那巴B赏</t>
    <phoneticPr fontId="1"/>
  </si>
  <si>
    <t>炼狱杏寿郎</t>
    <phoneticPr fontId="1"/>
  </si>
  <si>
    <t>富冈义勇</t>
    <phoneticPr fontId="1"/>
  </si>
  <si>
    <t>蝴蝶忍</t>
    <phoneticPr fontId="1"/>
  </si>
  <si>
    <t>蔬菜人</t>
    <phoneticPr fontId="1"/>
  </si>
  <si>
    <t>波伦伽</t>
    <phoneticPr fontId="1"/>
  </si>
  <si>
    <t>抬头龙</t>
    <phoneticPr fontId="1"/>
  </si>
  <si>
    <t>雅木茶</t>
    <phoneticPr fontId="1"/>
  </si>
  <si>
    <t>地球比克</t>
    <phoneticPr fontId="1"/>
  </si>
  <si>
    <t>内袋未拆</t>
    <phoneticPr fontId="1"/>
  </si>
  <si>
    <t>啦啦队系列</t>
    <phoneticPr fontId="1"/>
  </si>
  <si>
    <r>
      <t>Hobby</t>
    </r>
    <r>
      <rPr>
        <sz val="11"/>
        <color theme="1"/>
        <rFont val="Microsoft YaHei"/>
        <family val="2"/>
      </rPr>
      <t>·sakura</t>
    </r>
    <phoneticPr fontId="1"/>
  </si>
  <si>
    <t>24年11月</t>
    <phoneticPr fontId="1"/>
  </si>
  <si>
    <t>美沙纪</t>
    <phoneticPr fontId="1"/>
  </si>
  <si>
    <t>set(225+430)</t>
    <phoneticPr fontId="1"/>
  </si>
  <si>
    <t>我与机器子</t>
    <phoneticPr fontId="1"/>
  </si>
  <si>
    <t>megahouse</t>
    <phoneticPr fontId="1"/>
  </si>
  <si>
    <t>机器子</t>
    <phoneticPr fontId="1"/>
  </si>
  <si>
    <t>武道会琪琪</t>
    <phoneticPr fontId="1"/>
  </si>
  <si>
    <t>武道会主持人</t>
    <phoneticPr fontId="1"/>
  </si>
  <si>
    <t>武道会A悟空+last悟空+比克</t>
    <phoneticPr fontId="1"/>
  </si>
  <si>
    <t>宇航服悟饭</t>
    <phoneticPr fontId="1"/>
  </si>
  <si>
    <t>宇航服克林</t>
    <phoneticPr fontId="1"/>
  </si>
  <si>
    <t>全新</t>
  </si>
  <si>
    <t>盒有轻损</t>
    <phoneticPr fontId="1"/>
  </si>
  <si>
    <t>已拆</t>
    <phoneticPr fontId="1"/>
  </si>
  <si>
    <t>武道会 档案馆 沈先生</t>
    <phoneticPr fontId="1"/>
  </si>
  <si>
    <t>大鼓</t>
    <phoneticPr fontId="1"/>
  </si>
  <si>
    <t>弗利萨婴儿车last</t>
    <phoneticPr fontId="1"/>
  </si>
  <si>
    <t>送二狗</t>
    <phoneticPr fontId="1"/>
  </si>
  <si>
    <t>转运单号</t>
    <phoneticPr fontId="1"/>
  </si>
  <si>
    <t>100117-2152</t>
    <phoneticPr fontId="1"/>
  </si>
  <si>
    <t>091202-7946</t>
    <phoneticPr fontId="1"/>
  </si>
  <si>
    <t>重涂扉页色</t>
    <phoneticPr fontId="1"/>
  </si>
  <si>
    <t>食玩</t>
    <phoneticPr fontId="1"/>
  </si>
  <si>
    <t>大猿套小布欧</t>
    <phoneticPr fontId="1"/>
  </si>
  <si>
    <t>拿珠卖</t>
    <phoneticPr fontId="1"/>
  </si>
  <si>
    <t>迪士尼</t>
    <phoneticPr fontId="1"/>
  </si>
  <si>
    <t>玩偶</t>
    <phoneticPr fontId="1"/>
  </si>
  <si>
    <t>东京春日贝尔</t>
    <phoneticPr fontId="1"/>
  </si>
  <si>
    <t>父子机车B赏</t>
    <phoneticPr fontId="1"/>
  </si>
  <si>
    <t>战损盒</t>
    <phoneticPr fontId="1"/>
  </si>
  <si>
    <t>BWFC</t>
    <phoneticPr fontId="1"/>
  </si>
  <si>
    <t>无职转生</t>
    <phoneticPr fontId="1"/>
  </si>
  <si>
    <t>蓝妈妈</t>
    <phoneticPr fontId="1"/>
  </si>
  <si>
    <t>换装时刻</t>
    <phoneticPr fontId="1"/>
  </si>
  <si>
    <t>卖</t>
    <phoneticPr fontId="1"/>
  </si>
  <si>
    <t>6头，卖</t>
    <phoneticPr fontId="1"/>
  </si>
  <si>
    <t>gt三人组</t>
    <phoneticPr fontId="1"/>
  </si>
  <si>
    <t>悟空无桩</t>
    <phoneticPr fontId="1"/>
  </si>
  <si>
    <t>未来的决斗（last+沙鲁+贝吉塔）</t>
    <phoneticPr fontId="1"/>
  </si>
  <si>
    <t>月季鸣珂</t>
    <phoneticPr fontId="1"/>
  </si>
  <si>
    <t>llustration Revelation</t>
    <phoneticPr fontId="1"/>
  </si>
  <si>
    <t>未来的决斗（last+悟饭+特兰克斯+沙鲁+贝吉塔）</t>
    <phoneticPr fontId="1"/>
  </si>
  <si>
    <t>090103-8234</t>
    <phoneticPr fontId="1"/>
  </si>
  <si>
    <t>090110-7585</t>
  </si>
  <si>
    <t>重涂</t>
    <phoneticPr fontId="1"/>
  </si>
  <si>
    <t>桃红假面超三A赏</t>
    <phoneticPr fontId="1"/>
  </si>
  <si>
    <t>魔人布欧</t>
    <phoneticPr fontId="1"/>
  </si>
  <si>
    <t>SHF</t>
    <phoneticPr fontId="1"/>
  </si>
  <si>
    <t>布尔玛</t>
    <phoneticPr fontId="1"/>
  </si>
  <si>
    <t>普通色特典版</t>
    <phoneticPr fontId="1"/>
  </si>
  <si>
    <t>待定</t>
    <phoneticPr fontId="1"/>
  </si>
  <si>
    <t>狐妖小红娘</t>
    <phoneticPr fontId="1"/>
  </si>
  <si>
    <t>盛夏绽放 泳装Ver.</t>
    <phoneticPr fontId="1"/>
  </si>
  <si>
    <t>初见 手游版</t>
    <phoneticPr fontId="1"/>
  </si>
  <si>
    <t>涂山苏苏</t>
    <phoneticPr fontId="1"/>
  </si>
  <si>
    <t>090103-7164</t>
  </si>
  <si>
    <t>卖</t>
  </si>
  <si>
    <t>眼镜悟饭</t>
    <phoneticPr fontId="1"/>
  </si>
  <si>
    <t>悟饭拆摆，克林全新，set（悟饭和拼多多克林一起卖掉）</t>
    <phoneticPr fontId="1"/>
  </si>
  <si>
    <t>已拆</t>
    <phoneticPr fontId="1"/>
  </si>
  <si>
    <t>2个</t>
    <phoneticPr fontId="1"/>
  </si>
  <si>
    <t>docobuy</t>
    <phoneticPr fontId="1"/>
  </si>
  <si>
    <t>阿雅</t>
    <phoneticPr fontId="1"/>
  </si>
  <si>
    <t>蔚蓝档案</t>
    <phoneticPr fontId="1"/>
  </si>
  <si>
    <t>寿屋</t>
    <phoneticPr fontId="1"/>
  </si>
  <si>
    <t>一之濑明日奈</t>
    <phoneticPr fontId="1"/>
  </si>
  <si>
    <t>25年5月</t>
    <phoneticPr fontId="1"/>
  </si>
  <si>
    <t>24年12月</t>
    <phoneticPr fontId="1"/>
  </si>
  <si>
    <t>四月是你的谎言</t>
    <phoneticPr fontId="1"/>
  </si>
  <si>
    <t>樱花未来 赏花装扮</t>
    <phoneticPr fontId="1"/>
  </si>
  <si>
    <t>初音未来</t>
    <phoneticPr fontId="1"/>
  </si>
  <si>
    <t>约会大作战</t>
    <phoneticPr fontId="1"/>
  </si>
  <si>
    <t>时崎狂三 校服 L尺寸</t>
    <phoneticPr fontId="1"/>
  </si>
  <si>
    <t>FiguartsZERO</t>
    <phoneticPr fontId="1"/>
  </si>
  <si>
    <t xml:space="preserve">	Alter</t>
    <phoneticPr fontId="1"/>
  </si>
  <si>
    <t>老妈的号</t>
    <phoneticPr fontId="1"/>
  </si>
  <si>
    <t>眼镜厂</t>
    <phoneticPr fontId="1"/>
  </si>
  <si>
    <r>
      <t>地球</t>
    </r>
    <r>
      <rPr>
        <sz val="11"/>
        <color theme="1"/>
        <rFont val="Microsoft YaHei"/>
        <family val="2"/>
        <charset val="134"/>
      </rPr>
      <t>龙1.0</t>
    </r>
    <phoneticPr fontId="1"/>
  </si>
  <si>
    <t>VS系列 立牌*13</t>
    <phoneticPr fontId="1"/>
  </si>
  <si>
    <t>约尔 与 阿尼亚</t>
    <phoneticPr fontId="1"/>
  </si>
  <si>
    <t>怪兽8号</t>
    <phoneticPr fontId="1"/>
  </si>
  <si>
    <t>SHF</t>
    <phoneticPr fontId="1"/>
  </si>
  <si>
    <t>变身萨博</t>
    <phoneticPr fontId="1"/>
  </si>
  <si>
    <t>Alter</t>
    <phoneticPr fontId="1"/>
  </si>
  <si>
    <t>速水 奏</t>
    <phoneticPr fontId="1"/>
  </si>
  <si>
    <t>地球龙1.0+Gxm龟仙人+出阵悟饭</t>
    <phoneticPr fontId="1"/>
  </si>
  <si>
    <t>辛巴鲁</t>
    <phoneticPr fontId="1"/>
  </si>
  <si>
    <t>090107-5584</t>
    <phoneticPr fontId="1"/>
  </si>
  <si>
    <t>克林悟饭 last</t>
    <phoneticPr fontId="1"/>
  </si>
  <si>
    <t>老妈的号 无脚桩</t>
    <phoneticPr fontId="1"/>
  </si>
  <si>
    <t>老妈的号 无盒</t>
    <phoneticPr fontId="1"/>
  </si>
  <si>
    <r>
      <rPr>
        <sz val="11"/>
        <color theme="1"/>
        <rFont val="Microsoft YaHei"/>
        <family val="2"/>
        <charset val="134"/>
      </rPr>
      <t>总</t>
    </r>
    <r>
      <rPr>
        <sz val="11"/>
        <color theme="1"/>
        <rFont val="Microsoft JhengHei"/>
        <family val="2"/>
        <charset val="136"/>
      </rPr>
      <t>花</t>
    </r>
    <r>
      <rPr>
        <sz val="11"/>
        <color theme="1"/>
        <rFont val="Microsoft YaHei"/>
        <family val="2"/>
        <charset val="134"/>
      </rPr>
      <t>销</t>
    </r>
    <phoneticPr fontId="1"/>
  </si>
  <si>
    <r>
      <rPr>
        <sz val="11"/>
        <color theme="1"/>
        <rFont val="Microsoft YaHei"/>
        <family val="2"/>
        <charset val="134"/>
      </rPr>
      <t>总卖</t>
    </r>
    <r>
      <rPr>
        <sz val="11"/>
        <color theme="1"/>
        <rFont val="Microsoft JhengHei"/>
        <family val="2"/>
        <charset val="136"/>
      </rPr>
      <t>出</t>
    </r>
    <phoneticPr fontId="1"/>
  </si>
  <si>
    <r>
      <rPr>
        <sz val="11"/>
        <color theme="1"/>
        <rFont val="Microsoft YaHei"/>
        <family val="2"/>
        <charset val="134"/>
      </rPr>
      <t>总卖</t>
    </r>
    <r>
      <rPr>
        <sz val="11"/>
        <color theme="1"/>
        <rFont val="Microsoft JhengHei"/>
        <family val="2"/>
        <charset val="136"/>
      </rPr>
      <t>出成本</t>
    </r>
    <phoneticPr fontId="1"/>
  </si>
  <si>
    <r>
      <t>利</t>
    </r>
    <r>
      <rPr>
        <sz val="11"/>
        <color theme="1"/>
        <rFont val="Microsoft YaHei"/>
        <family val="2"/>
        <charset val="134"/>
      </rPr>
      <t>润</t>
    </r>
    <phoneticPr fontId="1"/>
  </si>
  <si>
    <r>
      <t>利</t>
    </r>
    <r>
      <rPr>
        <sz val="11"/>
        <color theme="1"/>
        <rFont val="Microsoft YaHei"/>
        <family val="2"/>
        <charset val="134"/>
      </rPr>
      <t>润</t>
    </r>
    <r>
      <rPr>
        <sz val="11"/>
        <color theme="1"/>
        <rFont val="Microsoft JhengHei"/>
        <family val="2"/>
        <charset val="136"/>
      </rPr>
      <t>率</t>
    </r>
    <phoneticPr fontId="1"/>
  </si>
  <si>
    <r>
      <rPr>
        <sz val="11"/>
        <color theme="1"/>
        <rFont val="Microsoft YaHei"/>
        <family val="2"/>
        <charset val="134"/>
      </rPr>
      <t>实际</t>
    </r>
    <r>
      <rPr>
        <sz val="11"/>
        <color theme="1"/>
        <rFont val="Microsoft JhengHei"/>
        <family val="2"/>
        <charset val="136"/>
      </rPr>
      <t>支出</t>
    </r>
    <phoneticPr fontId="1"/>
  </si>
  <si>
    <t>未来的决斗全套2</t>
    <phoneticPr fontId="1"/>
  </si>
  <si>
    <t>090107-7247</t>
    <phoneticPr fontId="1"/>
  </si>
  <si>
    <t>沙鲁二形态</t>
    <phoneticPr fontId="1"/>
  </si>
  <si>
    <t>无盒有桩</t>
    <phoneticPr fontId="1"/>
  </si>
  <si>
    <t>090107-9476</t>
    <phoneticPr fontId="1"/>
  </si>
  <si>
    <t>02国家队+少女前线DSR-50</t>
    <phoneticPr fontId="1"/>
  </si>
  <si>
    <t>档案馆悟吉塔</t>
    <phoneticPr fontId="1"/>
  </si>
  <si>
    <t>超三悟空</t>
    <phoneticPr fontId="1"/>
  </si>
  <si>
    <t>无盒无桩</t>
    <phoneticPr fontId="1"/>
  </si>
  <si>
    <t>090108-4445</t>
    <phoneticPr fontId="1"/>
  </si>
  <si>
    <t>PURE</t>
    <phoneticPr fontId="1"/>
  </si>
  <si>
    <t>普通版，卖</t>
    <phoneticPr fontId="1"/>
  </si>
  <si>
    <t>090603-6725</t>
    <phoneticPr fontId="1"/>
  </si>
  <si>
    <t>肌肉贝吉塔</t>
    <phoneticPr fontId="1"/>
  </si>
  <si>
    <t>命运-冠位指定</t>
    <phoneticPr fontId="1"/>
  </si>
  <si>
    <t>黑呆</t>
    <phoneticPr fontId="1"/>
  </si>
  <si>
    <t>未来的决斗last</t>
    <phoneticPr fontId="1"/>
  </si>
  <si>
    <t>未来的决斗 撒旦</t>
    <phoneticPr fontId="1"/>
  </si>
  <si>
    <t>有盒，成色新</t>
    <phoneticPr fontId="1"/>
  </si>
  <si>
    <t>回忆黄发贝吉塔</t>
    <phoneticPr fontId="1"/>
  </si>
  <si>
    <t>龙珠</t>
    <phoneticPr fontId="1"/>
  </si>
  <si>
    <t>鸟山明玩大便</t>
    <phoneticPr fontId="1"/>
  </si>
  <si>
    <t>手艺人自制</t>
    <phoneticPr fontId="1"/>
  </si>
  <si>
    <t>090108-6674</t>
    <phoneticPr fontId="1"/>
  </si>
  <si>
    <t>全配有瑕，盒小压</t>
    <phoneticPr fontId="1"/>
  </si>
  <si>
    <t>命运-冠位指定</t>
    <phoneticPr fontId="1"/>
  </si>
  <si>
    <t>玛修</t>
    <phoneticPr fontId="1"/>
  </si>
  <si>
    <t>限定版</t>
    <phoneticPr fontId="1"/>
  </si>
  <si>
    <t>Stronger</t>
    <phoneticPr fontId="1"/>
  </si>
  <si>
    <t>090304-6345</t>
    <phoneticPr fontId="1"/>
  </si>
  <si>
    <t>091108-7464</t>
    <phoneticPr fontId="1"/>
  </si>
  <si>
    <t>GSC</t>
    <phoneticPr fontId="1"/>
  </si>
  <si>
    <t>宝多六花</t>
    <phoneticPr fontId="1"/>
  </si>
  <si>
    <t>逆转工作室</t>
    <phoneticPr fontId="1"/>
  </si>
  <si>
    <t>少女系列</t>
    <phoneticPr fontId="1"/>
  </si>
  <si>
    <t>林檎</t>
    <phoneticPr fontId="1"/>
  </si>
  <si>
    <t>寿屋</t>
    <phoneticPr fontId="1"/>
  </si>
  <si>
    <t>无职转生</t>
    <phoneticPr fontId="1"/>
  </si>
  <si>
    <t>MAGI ARTS</t>
    <phoneticPr fontId="1"/>
  </si>
  <si>
    <t>东方Project</t>
    <phoneticPr fontId="1"/>
  </si>
  <si>
    <t>蔚蓝档案</t>
    <phoneticPr fontId="1"/>
  </si>
  <si>
    <t>命运石之门</t>
    <phoneticPr fontId="1"/>
  </si>
  <si>
    <t>魔眼</t>
    <phoneticPr fontId="1"/>
  </si>
  <si>
    <t>明日方舟</t>
    <phoneticPr fontId="1"/>
  </si>
  <si>
    <t>阿尔维娜</t>
    <phoneticPr fontId="1"/>
  </si>
  <si>
    <t>亚马逊</t>
    <phoneticPr fontId="1"/>
  </si>
  <si>
    <t>多多利亚</t>
  </si>
  <si>
    <t>090129-8363</t>
  </si>
  <si>
    <t>090722-7157</t>
  </si>
  <si>
    <t>090722-9480</t>
  </si>
  <si>
    <t xml:space="preserve">  </t>
  </si>
  <si>
    <t>大布欧</t>
  </si>
  <si>
    <t>老妈的号</t>
  </si>
  <si>
    <t>特典版,老妈的号</t>
  </si>
  <si>
    <t>云上的神殿 悟空+加林仙人</t>
  </si>
  <si>
    <t>云上的神殿 亚奇洛贝</t>
  </si>
  <si>
    <t>爷爷+牛魔王卖</t>
  </si>
  <si>
    <t>云上的神殿 神龙</t>
  </si>
  <si>
    <t>云上的神殿 档案馆</t>
  </si>
  <si>
    <t>两个武泰斗，一个猫</t>
  </si>
  <si>
    <t>武道会1</t>
  </si>
  <si>
    <t>休闲服悟空</t>
  </si>
  <si>
    <t>比克悟饭</t>
  </si>
  <si>
    <t>SSF 索米</t>
  </si>
  <si>
    <t>少女前线</t>
  </si>
  <si>
    <t>超造集</t>
  </si>
  <si>
    <t>月季鸣珂</t>
  </si>
  <si>
    <t>090722-7725</t>
  </si>
  <si>
    <t xml:space="preserve">090116-7610 </t>
  </si>
  <si>
    <t>450+444+284+280</t>
  </si>
  <si>
    <t>一番赏</t>
  </si>
  <si>
    <t>日本抽赏</t>
  </si>
  <si>
    <t>特典版，无盒</t>
  </si>
  <si>
    <t>悟空咬弗利萨</t>
  </si>
  <si>
    <t>吐蛋比克</t>
  </si>
  <si>
    <t>丽娜</t>
  </si>
  <si>
    <t>34100日元，日本带回，特典版</t>
  </si>
  <si>
    <t>待定</t>
  </si>
  <si>
    <t>SkyTube</t>
  </si>
  <si>
    <t>偶像大师灰姑娘女孩</t>
  </si>
  <si>
    <t>鹭泽文香</t>
  </si>
  <si>
    <t>12500日元，日本带回</t>
  </si>
  <si>
    <t>24年12月</t>
  </si>
  <si>
    <t>25年4月</t>
  </si>
  <si>
    <t>25年8月</t>
  </si>
  <si>
    <t>25年7月</t>
  </si>
  <si>
    <t>25年6月</t>
  </si>
  <si>
    <t>途径</t>
  </si>
  <si>
    <t>24年7月</t>
  </si>
  <si>
    <t>咸鱼</t>
  </si>
  <si>
    <t>淘宝</t>
  </si>
  <si>
    <t>24年3季度末</t>
  </si>
  <si>
    <t>25年3月</t>
  </si>
  <si>
    <t>24年9月</t>
  </si>
  <si>
    <t>Hobby Heaven</t>
  </si>
  <si>
    <t>OMAHA</t>
  </si>
  <si>
    <t>波妮塔酱</t>
  </si>
  <si>
    <t>淘宝橘子屋</t>
  </si>
  <si>
    <t>SIKI ANIM</t>
  </si>
  <si>
    <t>阿尔维娜</t>
  </si>
  <si>
    <t>天神</t>
  </si>
  <si>
    <t>黑发常态贝吉塔</t>
  </si>
  <si>
    <t>骑云悟空+悟饭爷爷+牛魔王</t>
  </si>
  <si>
    <t>龟仙流 档案馆</t>
  </si>
  <si>
    <t>VS系列（父子抱+拉蒂兹+悟饭）</t>
  </si>
  <si>
    <t>黄金大猿</t>
  </si>
  <si>
    <t>090121-7922</t>
  </si>
  <si>
    <t>拿珠+未来的决斗（贝吉塔+悟饭+特兰克斯）</t>
  </si>
  <si>
    <t>到手拆盒，未拆内盒</t>
  </si>
  <si>
    <t>090216-4655</t>
  </si>
  <si>
    <t>090107-8607</t>
  </si>
  <si>
    <t>通常色带特典</t>
  </si>
  <si>
    <t>她从雨中来</t>
  </si>
  <si>
    <t>塑唐</t>
  </si>
  <si>
    <t>超赛父子机车</t>
  </si>
  <si>
    <t>GSC</t>
  </si>
  <si>
    <t>狐坂若藻</t>
  </si>
  <si>
    <t>指乐无穷</t>
  </si>
  <si>
    <t>比克VS悟空</t>
  </si>
  <si>
    <t>贝吉塔VS悟空</t>
  </si>
  <si>
    <t>宝多六花</t>
  </si>
  <si>
    <t>月雪宫子</t>
  </si>
  <si>
    <t>尾张</t>
  </si>
  <si>
    <t>Alter</t>
  </si>
  <si>
    <t>明日香</t>
  </si>
  <si>
    <t>25年5月</t>
  </si>
  <si>
    <t>25年10月</t>
  </si>
  <si>
    <t>090312-2645</t>
  </si>
  <si>
    <t>090124-3011</t>
  </si>
  <si>
    <t>090127-7459</t>
  </si>
  <si>
    <t>090127-6315</t>
  </si>
  <si>
    <t>风王骑兵</t>
  </si>
  <si>
    <t>25年1月</t>
  </si>
  <si>
    <t>修女</t>
  </si>
  <si>
    <t>24年10月</t>
  </si>
  <si>
    <t>泡泡玛特</t>
  </si>
  <si>
    <t>共鸣</t>
  </si>
  <si>
    <t>龙珠载具系列</t>
  </si>
  <si>
    <t>尼尔自动人形</t>
  </si>
  <si>
    <t>2B</t>
  </si>
  <si>
    <t>24年11月</t>
  </si>
  <si>
    <t>牛角初音</t>
  </si>
  <si>
    <t>约会大作战</t>
  </si>
  <si>
    <t>时崎狂三</t>
  </si>
  <si>
    <t>GSC淘宝旗舰店</t>
  </si>
  <si>
    <t>龙珠</t>
  </si>
  <si>
    <t>悟空发波</t>
  </si>
  <si>
    <t>贝吉塔</t>
  </si>
  <si>
    <t>拳皇</t>
  </si>
  <si>
    <t>否极</t>
  </si>
  <si>
    <t>不知火舞</t>
  </si>
  <si>
    <t>碧蓝航线</t>
  </si>
  <si>
    <t>100906-8931</t>
  </si>
  <si>
    <t>090108-7390</t>
  </si>
  <si>
    <t>帕尔</t>
  </si>
  <si>
    <t>神明渴望游戏。</t>
  </si>
  <si>
    <t>elCOCO</t>
  </si>
  <si>
    <t>黑岩射手</t>
  </si>
  <si>
    <t>Max Factory</t>
  </si>
  <si>
    <t>寿屋</t>
  </si>
  <si>
    <t>狂赌之渊</t>
  </si>
  <si>
    <t>WAVE</t>
  </si>
  <si>
    <t>牧濑红莉栖</t>
  </si>
  <si>
    <t>悟饭骑龙last</t>
  </si>
  <si>
    <t>载具套</t>
  </si>
  <si>
    <t>悟饭骑车</t>
  </si>
  <si>
    <t>兰琪骑车</t>
  </si>
  <si>
    <t>飞行员小悟空</t>
  </si>
  <si>
    <t>SHF</t>
  </si>
  <si>
    <t>奥特曼</t>
  </si>
  <si>
    <t>特利伽奥特曼</t>
  </si>
  <si>
    <t>初音未来</t>
  </si>
  <si>
    <t>天猫国际，未发货补偿</t>
  </si>
  <si>
    <t>SHM</t>
  </si>
  <si>
    <t>怪物猎人</t>
  </si>
  <si>
    <t>雄火龙</t>
  </si>
  <si>
    <t>火影忍者</t>
  </si>
  <si>
    <t>鸣人</t>
  </si>
  <si>
    <t>武道会主持人</t>
  </si>
  <si>
    <t>普通版</t>
  </si>
  <si>
    <t>内鲁</t>
  </si>
  <si>
    <t>败犬女主太多了</t>
  </si>
  <si>
    <t>GSC POP UP</t>
  </si>
  <si>
    <t>八奈见杏菜</t>
  </si>
  <si>
    <t>EVA</t>
  </si>
  <si>
    <t>柴郡</t>
  </si>
  <si>
    <t>电光超人古立特</t>
  </si>
  <si>
    <t>叔叔会员购</t>
  </si>
  <si>
    <t>东方Project</t>
  </si>
  <si>
    <t>古明地恋</t>
  </si>
  <si>
    <t>25年7月，卖</t>
  </si>
  <si>
    <t>25年6月，卖</t>
  </si>
  <si>
    <t>淘宝叔叔</t>
  </si>
  <si>
    <t>魔女之旅</t>
  </si>
  <si>
    <t>伊蕾娜</t>
  </si>
  <si>
    <t>未来日记</t>
  </si>
  <si>
    <t>我妻由乃</t>
  </si>
  <si>
    <t>25年5月，普通版</t>
  </si>
  <si>
    <t>25年5月，特别版</t>
  </si>
  <si>
    <t>GSC小程序</t>
  </si>
  <si>
    <t>自爆沙鲁</t>
  </si>
  <si>
    <t>淘宝华宝</t>
  </si>
  <si>
    <t>狂化黑岩射手</t>
  </si>
  <si>
    <t>25年2月</t>
  </si>
  <si>
    <t>淘宝一诺</t>
  </si>
  <si>
    <t>模玩熊</t>
  </si>
  <si>
    <t>橘子屋</t>
  </si>
  <si>
    <t>淘宝明日方舟</t>
  </si>
  <si>
    <t>25年9月</t>
  </si>
  <si>
    <t>大猿套小布欧</t>
  </si>
  <si>
    <t>不想上班的OL酱</t>
  </si>
  <si>
    <t>MAGI ARTS</t>
  </si>
  <si>
    <t>弃单</t>
  </si>
  <si>
    <t>悟空布玛last</t>
  </si>
  <si>
    <t>鹤仙人天津饭</t>
  </si>
  <si>
    <t>初音未来16周年</t>
  </si>
  <si>
    <t>喜多川海梦 黑江雫</t>
  </si>
  <si>
    <t>孙悟空布尔玛</t>
  </si>
  <si>
    <t>26年2月</t>
  </si>
  <si>
    <t>审讯官</t>
  </si>
  <si>
    <t>Bibi Buttons</t>
  </si>
  <si>
    <t>原创</t>
  </si>
  <si>
    <t>良笑塑美</t>
  </si>
  <si>
    <t>战双：帕弥什</t>
  </si>
  <si>
    <t>露西亚·深红囚影</t>
  </si>
  <si>
    <t>25年11月，含特典</t>
  </si>
  <si>
    <t>猫受屋</t>
  </si>
  <si>
    <t>沙鲁完全体</t>
  </si>
  <si>
    <t>特典版</t>
  </si>
  <si>
    <t>棍空E赏</t>
  </si>
  <si>
    <t>沙鲁一形态</t>
  </si>
  <si>
    <t>沙鲁二形态</t>
  </si>
  <si>
    <t>罗贝尔特</t>
  </si>
  <si>
    <t>黑礁</t>
  </si>
  <si>
    <t>特典版，官网预定</t>
  </si>
  <si>
    <t>变身萨博</t>
  </si>
  <si>
    <t>未来的决斗全套1</t>
  </si>
  <si>
    <t>last(832)+贝吉塔(185)+特兰克斯（186），特兰克斯贝吉塔卖出，相当于last（738）</t>
  </si>
  <si>
    <t>白银诺艾尔 泳装</t>
  </si>
  <si>
    <t>艾莉丝</t>
  </si>
  <si>
    <t>Mega House</t>
  </si>
  <si>
    <t>25年1月，卖</t>
  </si>
  <si>
    <t>9号胶囊机车</t>
  </si>
  <si>
    <t>绫波丽</t>
  </si>
  <si>
    <t>APEX-TOYS</t>
  </si>
  <si>
    <t>26年1月</t>
  </si>
  <si>
    <t>悟空骑车</t>
  </si>
  <si>
    <t>拼多多</t>
  </si>
  <si>
    <t>紫罗兰永恒花园</t>
  </si>
  <si>
    <t>薇尔莉特•伊芙加登</t>
  </si>
  <si>
    <t>25年12月</t>
  </si>
  <si>
    <t>洛琪希</t>
  </si>
  <si>
    <t>比克大魔王last</t>
  </si>
  <si>
    <t>尤娜</t>
  </si>
  <si>
    <t>BearPanda</t>
  </si>
  <si>
    <t>命运-冠位指定</t>
  </si>
  <si>
    <t>剑士-阿尔托莉雅·潘德拉贡 与 黑甲骑兵</t>
  </si>
  <si>
    <t>老妈的号，盒一般</t>
  </si>
  <si>
    <t>两仪式</t>
  </si>
  <si>
    <t>空之境界</t>
  </si>
  <si>
    <t>洛琪希 原始版</t>
  </si>
  <si>
    <t>贝尔杰布last赏</t>
  </si>
  <si>
    <t>辛西娅</t>
  </si>
  <si>
    <t>Otherwhere</t>
  </si>
  <si>
    <t>无职转生</t>
  </si>
  <si>
    <t>gxm龟仙人+gxm悟饭有盒</t>
  </si>
  <si>
    <t>贝比</t>
  </si>
  <si>
    <t>大魔 界王神</t>
  </si>
  <si>
    <t>入坑第一个</t>
  </si>
  <si>
    <t>万代pb商店</t>
  </si>
  <si>
    <t>孫悟空＆龍</t>
  </si>
  <si>
    <t>Tamashii Art</t>
  </si>
  <si>
    <t>万代pb商店,28160日元</t>
  </si>
  <si>
    <t>布鲁托挂件</t>
  </si>
  <si>
    <t>圣路易斯</t>
  </si>
  <si>
    <t>撒旦（205）+悟饭已出（154）+沙鲁（308），分箱仓储多100</t>
  </si>
  <si>
    <t>渠道</t>
  </si>
  <si>
    <t>京东</t>
  </si>
  <si>
    <t>小程序</t>
  </si>
  <si>
    <t>ZIMOMO 大首领</t>
  </si>
  <si>
    <t>备注</t>
  </si>
  <si>
    <t>胖猪号</t>
  </si>
  <si>
    <t>抖音</t>
  </si>
  <si>
    <t>太空舱悟空</t>
  </si>
  <si>
    <t>没猫贴</t>
  </si>
  <si>
    <t>amiami，日本带回</t>
  </si>
  <si>
    <t>巴达克</t>
  </si>
  <si>
    <t>Gxmateria</t>
  </si>
  <si>
    <t>出阵</t>
  </si>
  <si>
    <t>人造人16号</t>
  </si>
  <si>
    <t>弗利萨</t>
  </si>
  <si>
    <t>25年3月，卖</t>
  </si>
  <si>
    <t>期待在地下城邂逅有错吗</t>
  </si>
  <si>
    <t>剑姬神圣谭</t>
  </si>
  <si>
    <t>贝吉特</t>
  </si>
  <si>
    <t>set，不要瞎买，拿住已卖</t>
  </si>
  <si>
    <t>父子机车B赏</t>
  </si>
  <si>
    <t>大魔 古罗里奥D赏</t>
  </si>
  <si>
    <t>大魔 比克 丹迪C赏</t>
  </si>
  <si>
    <t>大魔 贝吉塔 布玛B赏</t>
  </si>
  <si>
    <t>比克</t>
  </si>
  <si>
    <t>PLEX</t>
  </si>
  <si>
    <t>魔法少女小圆</t>
  </si>
  <si>
    <t>26年3月</t>
  </si>
  <si>
    <t>蜜姬</t>
  </si>
  <si>
    <t>MOKOKO 甜心</t>
  </si>
  <si>
    <t>悟空VS贝吉塔</t>
  </si>
  <si>
    <t>双特典+亚克力</t>
  </si>
  <si>
    <t>爱丽丝·里德尔</t>
  </si>
  <si>
    <t>爱丽丝梦游仙境</t>
  </si>
  <si>
    <t>布尔玛</t>
  </si>
  <si>
    <t>布尔玛照镜子</t>
  </si>
  <si>
    <t>无盒散货</t>
  </si>
  <si>
    <t>达列斯</t>
  </si>
  <si>
    <t>伊芙</t>
  </si>
  <si>
    <t>CARNEADES</t>
  </si>
  <si>
    <t>神官希卜娜</t>
  </si>
  <si>
    <t>quesQ</t>
  </si>
  <si>
    <t>DISH</t>
  </si>
  <si>
    <t>kimi</t>
  </si>
  <si>
    <t>数码宝贝</t>
  </si>
  <si>
    <t>红衣布尔玛</t>
  </si>
  <si>
    <r>
      <t>雷达</t>
    </r>
    <r>
      <rPr>
        <sz val="11"/>
        <color theme="1"/>
        <rFont val="Microsoft YaHei"/>
        <family val="2"/>
      </rPr>
      <t>布尔玛</t>
    </r>
  </si>
  <si>
    <t>军装布尔玛</t>
  </si>
  <si>
    <t>成色旧，卖</t>
  </si>
  <si>
    <t>チュロス</t>
  </si>
  <si>
    <t>吸血鬼·米娜</t>
  </si>
  <si>
    <t>零二</t>
  </si>
  <si>
    <t>DARLING in the FRANXX</t>
  </si>
  <si>
    <t>YD</t>
  </si>
  <si>
    <t>弗利萨第二形态</t>
  </si>
  <si>
    <t>ANIPLEX+</t>
  </si>
  <si>
    <t>春丽</t>
  </si>
  <si>
    <t>喜多川海梦 利兹</t>
  </si>
  <si>
    <t>无盒</t>
  </si>
  <si>
    <t>巴达克大猿</t>
  </si>
  <si>
    <t>撸撸的模型店</t>
  </si>
  <si>
    <t>FiguartsZERO</t>
  </si>
  <si>
    <t>漩涡鸣人</t>
  </si>
  <si>
    <t>25年9月，火影忍者72册漫画封面系列</t>
  </si>
  <si>
    <t>妮姬 桃乐丝</t>
  </si>
  <si>
    <t>胜利女神</t>
  </si>
  <si>
    <t>鹿目圆 -盛装-</t>
  </si>
  <si>
    <t>F:NEX</t>
  </si>
  <si>
    <t>雅木茶</t>
  </si>
  <si>
    <t>修业篇</t>
  </si>
  <si>
    <t>饼饼+璐璐</t>
  </si>
  <si>
    <t>青花瓷</t>
  </si>
  <si>
    <t>遗孀之雪女</t>
  </si>
  <si>
    <t>雪乃深冬</t>
  </si>
  <si>
    <t>范姐号</t>
  </si>
  <si>
    <t>涂山红红</t>
  </si>
  <si>
    <t>海贼王</t>
  </si>
  <si>
    <t>鲤鱼旗</t>
  </si>
  <si>
    <t>BabyMolly</t>
  </si>
  <si>
    <t>亚人</t>
  </si>
  <si>
    <t>异兽魔都</t>
  </si>
  <si>
    <t>完全版</t>
  </si>
  <si>
    <t>鬼灭之刃</t>
  </si>
  <si>
    <t>幽游白书</t>
  </si>
  <si>
    <t>阿拉蕾</t>
  </si>
  <si>
    <t>台版</t>
  </si>
  <si>
    <t>版本</t>
  </si>
  <si>
    <t>种类</t>
  </si>
  <si>
    <t>博客来</t>
  </si>
  <si>
    <t>伊藤润二</t>
  </si>
  <si>
    <t>爱藏版</t>
  </si>
  <si>
    <t>40周年日版</t>
  </si>
  <si>
    <t>黑神话影神集</t>
  </si>
  <si>
    <t>工具书</t>
  </si>
  <si>
    <t>轻小说</t>
  </si>
  <si>
    <t>26年6月</t>
  </si>
  <si>
    <t>流星时尚风格</t>
  </si>
  <si>
    <t>26年5月</t>
  </si>
  <si>
    <t>ELEGANT</t>
  </si>
  <si>
    <t>Alphamax</t>
  </si>
  <si>
    <t>迪迦奥特曼 强力型</t>
  </si>
  <si>
    <t>抖音模玩熊</t>
  </si>
  <si>
    <t>抖音叔叔</t>
  </si>
  <si>
    <t>守护甜心</t>
  </si>
  <si>
    <t>浪客行</t>
  </si>
  <si>
    <t>电锯人 最佳拍档</t>
  </si>
  <si>
    <t>美少女战士</t>
  </si>
  <si>
    <t>17-21 22-26</t>
  </si>
  <si>
    <t>作者</t>
  </si>
  <si>
    <t>鸟山明</t>
  </si>
  <si>
    <t>藤本树</t>
  </si>
  <si>
    <t>林田球</t>
  </si>
  <si>
    <t>蓦然回首 再见绘梨</t>
  </si>
  <si>
    <t>简中</t>
  </si>
  <si>
    <t>ONE</t>
  </si>
  <si>
    <t>江原涉子</t>
  </si>
  <si>
    <t>坂本真一</t>
  </si>
  <si>
    <t>井上雄彦</t>
  </si>
  <si>
    <t>武内直子</t>
  </si>
  <si>
    <t>灵能百分百+番外</t>
  </si>
  <si>
    <t>富㭴义博</t>
  </si>
  <si>
    <t>岸本齐史</t>
  </si>
  <si>
    <t>樱井画门</t>
  </si>
  <si>
    <t>吾峠呼世晴</t>
  </si>
  <si>
    <t>雨森焚火</t>
  </si>
  <si>
    <t>神课先生</t>
  </si>
  <si>
    <t>炎拳</t>
  </si>
  <si>
    <t>库林&amp;悟空</t>
  </si>
  <si>
    <t>悟天克斯鬼魂</t>
  </si>
  <si>
    <t>5000积分</t>
  </si>
  <si>
    <t>十六夜咲夜</t>
  </si>
  <si>
    <t>夏日重现</t>
  </si>
  <si>
    <t>小红书 胖猪号</t>
  </si>
  <si>
    <t>H2</t>
  </si>
  <si>
    <t>安达充</t>
  </si>
  <si>
    <t>小红书 杨树林</t>
  </si>
  <si>
    <t>尺寸</t>
  </si>
  <si>
    <t>完结度</t>
  </si>
  <si>
    <t>完结</t>
  </si>
  <si>
    <t>连载中</t>
  </si>
  <si>
    <t>田中靖规</t>
  </si>
  <si>
    <t>手冢治虫</t>
  </si>
  <si>
    <t>火鸟</t>
  </si>
  <si>
    <t>古味直志</t>
  </si>
  <si>
    <t>少女终末旅行</t>
  </si>
  <si>
    <t>つくみず</t>
  </si>
  <si>
    <t>爆漫王</t>
  </si>
  <si>
    <t>小畑健</t>
  </si>
  <si>
    <t>明日边缘</t>
  </si>
  <si>
    <t>沙漠大冒险</t>
  </si>
  <si>
    <t>Logo vol1 2</t>
  </si>
  <si>
    <t>盒机</t>
  </si>
  <si>
    <t>红莲</t>
  </si>
  <si>
    <t>国木田花丸</t>
  </si>
  <si>
    <t>爱与演唱会！阳光！！</t>
  </si>
  <si>
    <t>胖猪号，9月24日</t>
  </si>
  <si>
    <t>宇航服布玛</t>
  </si>
  <si>
    <t>25年2月，卖</t>
  </si>
  <si>
    <t>大凤 插画版</t>
  </si>
  <si>
    <t>龟仙人</t>
  </si>
  <si>
    <t>乌龙 神龙</t>
  </si>
  <si>
    <t>4个</t>
  </si>
  <si>
    <t>2个</t>
  </si>
  <si>
    <t xml:space="preserve">LABUBU </t>
  </si>
  <si>
    <t>Molly</t>
  </si>
  <si>
    <t>SKULL PANDA</t>
  </si>
  <si>
    <t>米奇家族</t>
  </si>
  <si>
    <t>星星人</t>
  </si>
  <si>
    <t>大夏日</t>
  </si>
  <si>
    <t>象棋国王</t>
  </si>
  <si>
    <t>象棋国王+皇后</t>
  </si>
  <si>
    <t>一代黑皮</t>
  </si>
  <si>
    <t>大春野</t>
  </si>
  <si>
    <t>象棋皇后</t>
  </si>
  <si>
    <t>森林童话</t>
  </si>
  <si>
    <t>可乐</t>
  </si>
  <si>
    <t>2.0</t>
  </si>
  <si>
    <t>米奇</t>
  </si>
  <si>
    <t>高飞</t>
  </si>
  <si>
    <t>布鲁托</t>
  </si>
  <si>
    <t>黛西</t>
  </si>
  <si>
    <t>蒂蒂</t>
  </si>
  <si>
    <t>KUMA</t>
  </si>
  <si>
    <t>星光咖啡馆与死神之蝶</t>
  </si>
  <si>
    <t>明月栞那</t>
  </si>
  <si>
    <t>Alice Glint</t>
  </si>
  <si>
    <t>希露菲</t>
  </si>
  <si>
    <t>战斗暴龙兽再版</t>
  </si>
  <si>
    <t>钢铁加鲁鲁再版</t>
  </si>
  <si>
    <t>PINKMANGO</t>
  </si>
  <si>
    <t>Ogre</t>
  </si>
  <si>
    <t>尺玉</t>
  </si>
  <si>
    <t>超三悟空</t>
  </si>
  <si>
    <t>角川</t>
  </si>
  <si>
    <t>last 孙悟饭&amp;悟空</t>
  </si>
  <si>
    <t>rurudo</t>
  </si>
  <si>
    <t xml:space="preserve">
Pink Charm</t>
  </si>
  <si>
    <t>Mimeyoi</t>
  </si>
  <si>
    <t>龙珠Z 03 布尔玛</t>
  </si>
  <si>
    <t>神罚：第二种情感</t>
  </si>
  <si>
    <t>26年9月</t>
  </si>
  <si>
    <t>金瓯永固杯</t>
  </si>
  <si>
    <t>琪琪</t>
  </si>
  <si>
    <t>亚马逊</t>
  </si>
  <si>
    <t>青春恋爱物语</t>
  </si>
  <si>
    <t>26年8月</t>
  </si>
  <si>
    <t>初音未来 15周年纪念</t>
  </si>
  <si>
    <t>乌龙&amp;普洱</t>
  </si>
  <si>
    <t>战损贝吉塔</t>
  </si>
  <si>
    <t>萨博</t>
  </si>
  <si>
    <t>基纽特战队</t>
  </si>
  <si>
    <t>美沙纪</t>
  </si>
  <si>
    <t>蕾米莉亚</t>
  </si>
  <si>
    <t>莉库</t>
  </si>
  <si>
    <t xml:space="preserve">3.0 </t>
  </si>
  <si>
    <t>不良女警</t>
  </si>
  <si>
    <t>104战车</t>
  </si>
  <si>
    <t>超级赛亚人2孙悟饭-汹涌的实力</t>
  </si>
  <si>
    <t>淘宝Hpoi</t>
  </si>
  <si>
    <t>雪乃</t>
  </si>
  <si>
    <t>皮拉夫三人组</t>
  </si>
  <si>
    <t>桌面系列</t>
  </si>
  <si>
    <t>命运石之门</t>
  </si>
  <si>
    <t>Fate/Zero</t>
  </si>
  <si>
    <t>噩兆</t>
  </si>
  <si>
    <t>MOKOKO 夏日</t>
  </si>
  <si>
    <t>我与机器子</t>
  </si>
  <si>
    <t>坐坐</t>
  </si>
  <si>
    <t>整端</t>
  </si>
  <si>
    <t>马卡龙</t>
  </si>
  <si>
    <t>平静</t>
  </si>
  <si>
    <t>爱</t>
  </si>
  <si>
    <t>忠诚</t>
  </si>
  <si>
    <t>欢乐</t>
  </si>
  <si>
    <t>幸运</t>
  </si>
  <si>
    <t>小可爱</t>
  </si>
  <si>
    <t>1.0</t>
  </si>
  <si>
    <t>胖猪号，整端</t>
  </si>
  <si>
    <t>米妮</t>
  </si>
  <si>
    <t>便利店</t>
  </si>
  <si>
    <t>沙拉</t>
  </si>
  <si>
    <t>7月28日，整端</t>
  </si>
  <si>
    <t>9月22日，整端</t>
  </si>
  <si>
    <t>胖猪号，香肠</t>
  </si>
  <si>
    <t>胖猪号，9月24日，整端</t>
  </si>
  <si>
    <t>MOKOKO 甜心挂件</t>
  </si>
  <si>
    <t>砂狼白子</t>
  </si>
  <si>
    <t>3件，留一件</t>
  </si>
  <si>
    <t>3件，还剩一件除女装的四个</t>
  </si>
  <si>
    <t>缠流子 变身</t>
  </si>
  <si>
    <t>斩服少女</t>
  </si>
  <si>
    <t>四季夏目 旗袍</t>
  </si>
  <si>
    <t>24年11月，卖</t>
  </si>
  <si>
    <t>心底密码</t>
  </si>
  <si>
    <t>大娃</t>
  </si>
  <si>
    <t>闷包</t>
  </si>
  <si>
    <t>I</t>
  </si>
  <si>
    <t>大久保柚莉爱</t>
  </si>
  <si>
    <t>沙鲁VS贝吉塔</t>
  </si>
  <si>
    <t>紫音 -蓝蝶-</t>
  </si>
  <si>
    <t xml:space="preserve">魅魔寄宿 咲舞紫织 圣诞服 </t>
  </si>
  <si>
    <t>前方高能 ROCK</t>
  </si>
  <si>
    <t>孙悟空与龙-龙珠40周年纪念款</t>
  </si>
  <si>
    <t>圣园未花</t>
  </si>
  <si>
    <t>圣之缘</t>
  </si>
  <si>
    <t>心底密码 N-Z</t>
  </si>
  <si>
    <t>富江</t>
  </si>
  <si>
    <t>25年6月，特别版，卖</t>
  </si>
  <si>
    <t>富冈义勇</t>
  </si>
  <si>
    <t>紫音 -Passion Pink-</t>
  </si>
  <si>
    <t>Vibrastar</t>
  </si>
  <si>
    <t>米奇王</t>
  </si>
  <si>
    <t>莫西干哥布林</t>
  </si>
  <si>
    <t>HopDo Toys</t>
  </si>
  <si>
    <t>目白麦昆</t>
  </si>
  <si>
    <t>赛马娘</t>
  </si>
  <si>
    <t>26年7月</t>
  </si>
  <si>
    <t>心底密码 A-M</t>
  </si>
  <si>
    <t>少年篇</t>
  </si>
  <si>
    <t>LAST立牌</t>
  </si>
  <si>
    <t>海龟</t>
  </si>
  <si>
    <t>芙兰朵露・斯卡雷特</t>
  </si>
  <si>
    <t>蕾米莉亚・斯卡雷特</t>
  </si>
  <si>
    <t>26年11月</t>
  </si>
  <si>
    <t>26年10月</t>
  </si>
  <si>
    <t>大凤 海滨的白日美梦</t>
  </si>
  <si>
    <t>26年12月</t>
  </si>
  <si>
    <t>迪迦奥特曼 2.0</t>
  </si>
  <si>
    <t>迪迦奥特曼</t>
  </si>
  <si>
    <t>豆鱼雷</t>
  </si>
  <si>
    <t>初音未来 JAPAN LIVE TOUR 2025 ～BLOOMING～</t>
  </si>
  <si>
    <t>27年1月</t>
  </si>
  <si>
    <t>MOKOKO 毛球派对</t>
  </si>
  <si>
    <t>闷包，忠诚</t>
  </si>
  <si>
    <t>5000积分，自留已拆</t>
  </si>
  <si>
    <t>桃乐丝</t>
  </si>
  <si>
    <t>胜利女神：新的希望</t>
  </si>
  <si>
    <t>门店</t>
  </si>
  <si>
    <t>MOKOKO 万圣节</t>
  </si>
  <si>
    <t>电影少女</t>
  </si>
  <si>
    <t>桂正和</t>
  </si>
  <si>
    <t>闲鱼</t>
  </si>
  <si>
    <t>弗利萨 龙珠 半身</t>
  </si>
  <si>
    <t>美少女万华镜 理与迷宫的少女</t>
  </si>
  <si>
    <t>莲华</t>
  </si>
  <si>
    <t>巨猿 托马</t>
  </si>
  <si>
    <t>典藏版</t>
  </si>
  <si>
    <t>淘宝 瑕疵版</t>
  </si>
  <si>
    <t>北条司</t>
  </si>
  <si>
    <t>灰姑娘：玻璃公主</t>
  </si>
  <si>
    <t>雪未来×酷洛米</t>
  </si>
  <si>
    <t>古见同学有交流障碍症</t>
  </si>
  <si>
    <t>古见硝子</t>
  </si>
  <si>
    <t>日本带回</t>
  </si>
  <si>
    <t>日本带回,35000日元</t>
  </si>
  <si>
    <t>890日元，日本带回</t>
  </si>
  <si>
    <t>历史盒子</t>
  </si>
  <si>
    <t>33890日元，日本带回，非特典版</t>
  </si>
  <si>
    <t>怪物</t>
  </si>
  <si>
    <t>荒川弘</t>
  </si>
  <si>
    <t>浦泽直树</t>
  </si>
  <si>
    <t>青春方程式</t>
  </si>
  <si>
    <t>败犬女角太多了</t>
  </si>
  <si>
    <t>大凤 放学后的甜蜜时光</t>
  </si>
  <si>
    <t>大蛇</t>
  </si>
  <si>
    <t>我的学生会长是女仆</t>
  </si>
  <si>
    <t>藤原飞吕</t>
  </si>
  <si>
    <t>新世纪福音战士</t>
  </si>
  <si>
    <t>贞本义行</t>
  </si>
  <si>
    <t>鱼丰</t>
  </si>
  <si>
    <t>彩虹辣椒</t>
  </si>
  <si>
    <t>洗礼</t>
  </si>
  <si>
    <t>楳图一雄</t>
  </si>
  <si>
    <t>相聚一刻</t>
  </si>
  <si>
    <t>京东 王哥号</t>
  </si>
  <si>
    <t>高桥留美子</t>
  </si>
  <si>
    <t>漂流教室</t>
  </si>
  <si>
    <t>旋涡</t>
  </si>
  <si>
    <t>日版</t>
  </si>
  <si>
    <t>伊落玛丽（偶像）</t>
  </si>
  <si>
    <t>回忆黄发贝吉塔</t>
  </si>
  <si>
    <t>蕾塞</t>
  </si>
  <si>
    <t>电锯人</t>
  </si>
  <si>
    <t>BiCute Bunnies</t>
  </si>
  <si>
    <t>40周年 再见悟空</t>
  </si>
  <si>
    <t>B赏</t>
  </si>
  <si>
    <t>金田一20周年</t>
  </si>
  <si>
    <t>S-FIRE</t>
  </si>
  <si>
    <t>40周年 视觉画</t>
  </si>
  <si>
    <t>40周年 彩画</t>
  </si>
  <si>
    <t>一套</t>
  </si>
  <si>
    <t>C赏，一套</t>
  </si>
  <si>
    <t>金田一少年事件簿R</t>
  </si>
  <si>
    <t>天树征丸</t>
  </si>
  <si>
    <t>KATSU!</t>
  </si>
  <si>
    <t>IS</t>
  </si>
  <si>
    <t>恶之华</t>
  </si>
  <si>
    <t>押见修造</t>
  </si>
  <si>
    <t>时崎狂三 富士见文库30周年纪念版</t>
  </si>
  <si>
    <t>40周年 档案馆</t>
  </si>
  <si>
    <t>一套，5个</t>
  </si>
  <si>
    <t>斩赤红之瞳</t>
  </si>
  <si>
    <t>微店，6和14微瑕</t>
  </si>
  <si>
    <t>14岁</t>
  </si>
  <si>
    <t>城市猎人17-24</t>
  </si>
  <si>
    <t>城市猎人25-32</t>
  </si>
  <si>
    <t>抖音 瑕疵版</t>
  </si>
  <si>
    <t>载具2篇</t>
  </si>
  <si>
    <t>海盗悟空</t>
  </si>
  <si>
    <t>摩托龟仙人</t>
  </si>
  <si>
    <t>婚车</t>
  </si>
  <si>
    <t>悟饭</t>
  </si>
  <si>
    <t>送小孔</t>
  </si>
  <si>
    <t>A赏</t>
  </si>
  <si>
    <t>40周年 悟空骑龙</t>
  </si>
  <si>
    <t>冒失娘女仆 莉莉</t>
  </si>
  <si>
    <t>漂流网咖</t>
  </si>
  <si>
    <t>阿尔托莉雅 Alter huke 联名套装</t>
  </si>
  <si>
    <t>Fate/stay night</t>
  </si>
  <si>
    <t>蛇喰梦子</t>
  </si>
  <si>
    <t>初音未来 15周年纪念 粘土人</t>
  </si>
  <si>
    <t>立牌</t>
  </si>
  <si>
    <t>CROSS H赏</t>
  </si>
  <si>
    <t>战斗的轨迹</t>
  </si>
  <si>
    <t>官网预定，38610日元</t>
  </si>
  <si>
    <t>巴拉莱卡</t>
  </si>
  <si>
    <t>特典版，官网预定,24300日元</t>
  </si>
  <si>
    <t>26年2月，特別版</t>
  </si>
  <si>
    <t>亚子</t>
  </si>
  <si>
    <t>25年8月，卖</t>
  </si>
  <si>
    <t>初音未来 梅花三弄</t>
  </si>
  <si>
    <t>松浦果南 潜水服</t>
  </si>
  <si>
    <t>26年6月，闲鱼购入</t>
  </si>
  <si>
    <t>40周年 其二</t>
  </si>
  <si>
    <t>库林</t>
  </si>
  <si>
    <t>A悟空+Last神龙</t>
  </si>
  <si>
    <t>HobbyMax</t>
  </si>
  <si>
    <t>明日香 Part.2</t>
  </si>
  <si>
    <t>ORIGIN-源型机</t>
  </si>
  <si>
    <t>Boichi</t>
  </si>
  <si>
    <t>小千</t>
  </si>
  <si>
    <t>橘色小悟空</t>
  </si>
  <si>
    <t>雪初音</t>
  </si>
  <si>
    <t>27年3月</t>
  </si>
  <si>
    <t>芙莉莲 黄昏色的魔法</t>
  </si>
  <si>
    <t>葬送的芙莉莲</t>
  </si>
  <si>
    <t>雾雨魔理沙</t>
  </si>
  <si>
    <t>天童爱丽丝 女仆</t>
  </si>
  <si>
    <t>蔚蓝档案</t>
  </si>
  <si>
    <t>天使警察</t>
  </si>
  <si>
    <t>Pink Charm</t>
  </si>
  <si>
    <t>人妻奈奈</t>
  </si>
  <si>
    <t>ACEmodeling</t>
  </si>
  <si>
    <t>竞争对手</t>
  </si>
  <si>
    <t>魔人贝吉塔</t>
  </si>
  <si>
    <t>恶魔小焰</t>
  </si>
  <si>
    <t>天下第一武道会</t>
  </si>
  <si>
    <t>拼奇</t>
  </si>
  <si>
    <t>40周年 马克杯</t>
  </si>
  <si>
    <t>两个</t>
  </si>
  <si>
    <t>MOKOKO 醒醒春日</t>
  </si>
  <si>
    <t>18号&amp;撒旦</t>
  </si>
  <si>
    <t>我内心糟糕的地方 12</t>
  </si>
  <si>
    <t>樱井纪雄</t>
  </si>
  <si>
    <t>抖音 小号</t>
  </si>
  <si>
    <t>LAST</t>
  </si>
  <si>
    <t>厄夜怪客</t>
  </si>
  <si>
    <t>平野耕太</t>
  </si>
  <si>
    <t>搞怪家庭</t>
  </si>
  <si>
    <t>博客来 盒装</t>
  </si>
  <si>
    <t>福袋</t>
  </si>
  <si>
    <t>BANDAI</t>
  </si>
  <si>
    <t>SMSP</t>
  </si>
  <si>
    <t>悟空</t>
  </si>
  <si>
    <t>无实之花</t>
  </si>
  <si>
    <t>NON</t>
  </si>
  <si>
    <t>山田钟人</t>
  </si>
  <si>
    <t>葬送的芙莉莲 1-13</t>
  </si>
  <si>
    <t>葬送的芙莉莲 14</t>
  </si>
  <si>
    <t>我内心糟糕的地方 1-11</t>
  </si>
  <si>
    <t>斩赤红之瞳 零</t>
  </si>
  <si>
    <t>カルロ・ゼン</t>
  </si>
  <si>
    <t>胖布欧</t>
  </si>
  <si>
    <t>超级赛亚人 孙悟饭Ⅱ</t>
  </si>
  <si>
    <t>BOS</t>
  </si>
  <si>
    <t>少年篇 拆盒未拆袋</t>
  </si>
  <si>
    <t>杂烩饭</t>
  </si>
  <si>
    <t>蓝琪</t>
  </si>
  <si>
    <t>牛魔王</t>
  </si>
  <si>
    <t>少年篇 双色</t>
  </si>
  <si>
    <t>地球库林</t>
  </si>
  <si>
    <t>元气斩库林</t>
  </si>
  <si>
    <t>比克+库林</t>
  </si>
  <si>
    <t>宇宙服库林</t>
  </si>
  <si>
    <t>宇航服库林</t>
  </si>
  <si>
    <t>4人（贝吉塔+悟空+库林+雅木茶）</t>
  </si>
  <si>
    <t>少年篇 一整套</t>
  </si>
  <si>
    <t>占卜婆婆</t>
  </si>
  <si>
    <t>亚奇洛贝</t>
  </si>
  <si>
    <t>阿修</t>
  </si>
  <si>
    <t>小舞</t>
  </si>
  <si>
    <t>天津饭</t>
  </si>
  <si>
    <t>孙悟饭爷爷</t>
  </si>
  <si>
    <t>饺子</t>
  </si>
  <si>
    <t>少年篇 乌龙换的</t>
  </si>
  <si>
    <t>乌龙</t>
  </si>
  <si>
    <t>乌帕</t>
  </si>
  <si>
    <t>偷窥孔</t>
  </si>
  <si>
    <t>本名和幸</t>
  </si>
  <si>
    <t>小红书</t>
  </si>
  <si>
    <t>悟饭已出（50）</t>
  </si>
  <si>
    <t>向坂环</t>
  </si>
  <si>
    <t>ToHeart2</t>
  </si>
  <si>
    <t>闲鱼，运费143，限</t>
  </si>
  <si>
    <t>矢吹健太朗</t>
  </si>
  <si>
    <t>闲鱼，限</t>
  </si>
  <si>
    <t>出包王女 第一部(10)+第二部(9)</t>
  </si>
  <si>
    <t>纯真之人</t>
  </si>
  <si>
    <t>纯真之人 Rough 1-6</t>
  </si>
  <si>
    <t>晚安布布</t>
  </si>
  <si>
    <t>碧蓝之海 1-23</t>
  </si>
  <si>
    <t>天降之物</t>
  </si>
  <si>
    <t>モクモクれん</t>
  </si>
  <si>
    <t>浅野一二〇</t>
  </si>
  <si>
    <t>禁入空间</t>
  </si>
  <si>
    <t>幻怪地带 以太村</t>
  </si>
  <si>
    <t>感应</t>
  </si>
  <si>
    <t>井上坚二</t>
  </si>
  <si>
    <t>地狱星</t>
  </si>
  <si>
    <t>黑色诡局</t>
  </si>
  <si>
    <t>溶解教室</t>
  </si>
  <si>
    <t>幻怪地带</t>
  </si>
  <si>
    <t>历史之眼 1-12</t>
  </si>
  <si>
    <t>岩明均</t>
  </si>
  <si>
    <t>企业佣兵·艾坦 1-4</t>
  </si>
  <si>
    <t>山道七穂</t>
  </si>
  <si>
    <t>极恶王</t>
  </si>
  <si>
    <t>高桥弘</t>
  </si>
  <si>
    <t>水无月嵩</t>
  </si>
  <si>
    <t>妖怪猎人</t>
  </si>
  <si>
    <t>诸星大二郎</t>
  </si>
  <si>
    <t>栞与纸鱼子</t>
  </si>
  <si>
    <t>山岳怪谈</t>
  </si>
  <si>
    <t>天使心1st 1-8</t>
  </si>
  <si>
    <t>抖音 未处理</t>
  </si>
  <si>
    <t>萩原一至</t>
  </si>
  <si>
    <t>暗黑破坏神 1-27</t>
  </si>
  <si>
    <t>化物语</t>
  </si>
  <si>
    <t>家庭教师</t>
  </si>
  <si>
    <t>闲鱼，7和13有瑕</t>
  </si>
  <si>
    <t>幸村诚</t>
  </si>
  <si>
    <t>大暮维人</t>
  </si>
  <si>
    <t>天野明</t>
  </si>
  <si>
    <t>眨眼之声 1</t>
  </si>
  <si>
    <t>伪恋 6</t>
  </si>
  <si>
    <t>伪恋 1-5</t>
  </si>
  <si>
    <t>伪恋 7</t>
  </si>
  <si>
    <t>伪恋 8</t>
  </si>
  <si>
    <t>伪恋 9</t>
  </si>
  <si>
    <t>伪恋 10</t>
  </si>
  <si>
    <t>伪恋 11</t>
  </si>
  <si>
    <t>伪恋 12</t>
  </si>
  <si>
    <t>伪恋 13</t>
  </si>
  <si>
    <t>伪恋 14</t>
  </si>
  <si>
    <t>关于地球的运动 1-4</t>
  </si>
  <si>
    <t>关于地球的运动 5-8</t>
  </si>
  <si>
    <t>孤高之人 1-12</t>
  </si>
  <si>
    <t>大黑暗 1-7</t>
  </si>
  <si>
    <t>大黑暗 8</t>
  </si>
  <si>
    <t>败犬女主 1-7+SSS</t>
  </si>
  <si>
    <t>约克公爵</t>
  </si>
  <si>
    <t>红妈妈</t>
  </si>
  <si>
    <t>魔都精兵的奴隶 1-19</t>
  </si>
  <si>
    <t>タカヒロ</t>
  </si>
  <si>
    <t>闲鱼，6已拆</t>
  </si>
  <si>
    <t>孙悟空01</t>
  </si>
  <si>
    <t>孙悟空 和 琪琪 05</t>
  </si>
  <si>
    <t>寄生兽</t>
  </si>
  <si>
    <t>死亡笔记</t>
  </si>
  <si>
    <t>进击的巨人</t>
  </si>
  <si>
    <t>谭雅战记 1-30</t>
  </si>
  <si>
    <t>石田翠</t>
  </si>
  <si>
    <t>谏山创</t>
  </si>
  <si>
    <t>DNA²</t>
  </si>
  <si>
    <t>大剑</t>
  </si>
  <si>
    <t>宫园薰</t>
  </si>
  <si>
    <t>三浦建太郎</t>
  </si>
  <si>
    <t>八木教广</t>
  </si>
  <si>
    <t>东京喰种+东京喰种:re</t>
  </si>
  <si>
    <t>杀戮都市</t>
  </si>
  <si>
    <t>杀戮女巨人</t>
  </si>
  <si>
    <t>奥浩哉</t>
  </si>
  <si>
    <t>MEDICOS-E</t>
  </si>
  <si>
    <t>X战记</t>
  </si>
  <si>
    <t>CLAMP</t>
  </si>
  <si>
    <t>路飞全形态</t>
  </si>
  <si>
    <t>24年3月，一坨</t>
  </si>
  <si>
    <t>人造人</t>
  </si>
  <si>
    <t>25K</t>
  </si>
  <si>
    <t>36K</t>
  </si>
  <si>
    <t>32K</t>
  </si>
  <si>
    <t>败犬女主 8</t>
  </si>
  <si>
    <t>拼多多，出</t>
  </si>
  <si>
    <t>全职猎人</t>
  </si>
  <si>
    <t>ROUGH</t>
  </si>
  <si>
    <t>抖音，卖</t>
  </si>
  <si>
    <t>天使心1st 9-16</t>
  </si>
  <si>
    <t>天使心1st 17-24</t>
  </si>
  <si>
    <t>珍藏版</t>
  </si>
  <si>
    <t>16K</t>
  </si>
  <si>
    <t>光逝去的夏天 1-6</t>
  </si>
  <si>
    <t>淘宝（抖音950，未发货补偿30）</t>
  </si>
  <si>
    <t>久保带人</t>
  </si>
  <si>
    <t>虫师</t>
  </si>
  <si>
    <t>妖狐×仆SS</t>
  </si>
  <si>
    <t>藤原可可亚</t>
  </si>
  <si>
    <t>漆原友纪</t>
  </si>
  <si>
    <t>危险调查员 5-8</t>
  </si>
  <si>
    <t>银魂 1</t>
  </si>
  <si>
    <t>恶魔的破坏</t>
  </si>
  <si>
    <t>爱如雨止</t>
  </si>
  <si>
    <t>眉月啍</t>
  </si>
  <si>
    <t>天使心2nd 1-8</t>
  </si>
  <si>
    <t>梅泽春人</t>
  </si>
  <si>
    <t>横行太保 11-20</t>
  </si>
  <si>
    <t>终将成为你</t>
  </si>
  <si>
    <t>仲谷鳰</t>
  </si>
  <si>
    <t>攻壳机动队</t>
  </si>
  <si>
    <t>士郎正宗</t>
  </si>
  <si>
    <t>伪恋 1-13</t>
  </si>
  <si>
    <t>京东 42</t>
  </si>
  <si>
    <t>淘宝 45</t>
  </si>
  <si>
    <t>京东 43</t>
  </si>
  <si>
    <t>淘宝 46</t>
  </si>
  <si>
    <t>淘宝 48</t>
  </si>
  <si>
    <t>淘宝 47</t>
  </si>
  <si>
    <t>抖音 48</t>
  </si>
  <si>
    <t>京东 206</t>
  </si>
  <si>
    <t>明日同学的水手服 1-13</t>
  </si>
  <si>
    <t>博（Hiro）</t>
  </si>
  <si>
    <t>淘宝 胖猪号</t>
  </si>
  <si>
    <t>青之芦苇 1-5</t>
  </si>
  <si>
    <t>青之芦苇 6-10</t>
  </si>
  <si>
    <t>小林有吾</t>
  </si>
  <si>
    <t>天使心2nd 9-16</t>
  </si>
  <si>
    <t>新小鬼Q太郎</t>
  </si>
  <si>
    <t>藤子·F·不二雄</t>
  </si>
  <si>
    <t>爱情白皮书（第1部 + 第2部）</t>
  </si>
  <si>
    <t>柴门文</t>
  </si>
  <si>
    <t>叶鸟螺子</t>
  </si>
  <si>
    <t>樱兰高校男公关部 6-9</t>
  </si>
  <si>
    <t>樱兰高校男公关部 1-5</t>
  </si>
  <si>
    <t>漫画一生</t>
  </si>
  <si>
    <t>抖音 爆金币10</t>
  </si>
  <si>
    <t>博客来 拆一本</t>
  </si>
  <si>
    <t>葵关南</t>
  </si>
  <si>
    <t>特装版</t>
  </si>
  <si>
    <t>祝耕夫</t>
  </si>
  <si>
    <t>空知英秋</t>
  </si>
  <si>
    <t>Terry山本</t>
  </si>
  <si>
    <t>京东（预售）</t>
  </si>
  <si>
    <t>死神 1</t>
  </si>
  <si>
    <t>死神 2</t>
  </si>
  <si>
    <t>死神 3</t>
  </si>
  <si>
    <t>死神 4</t>
  </si>
  <si>
    <t>死神 5</t>
  </si>
  <si>
    <t>死神 6</t>
  </si>
  <si>
    <t>死神 7</t>
  </si>
  <si>
    <t>死神 8</t>
  </si>
  <si>
    <t>死神 9</t>
  </si>
  <si>
    <t>死神 10</t>
  </si>
  <si>
    <t>死神 11</t>
  </si>
  <si>
    <t>死神 12</t>
  </si>
  <si>
    <t>死神 13</t>
  </si>
  <si>
    <t>死神 14</t>
  </si>
  <si>
    <t>死神 15</t>
  </si>
  <si>
    <t>死神 16</t>
  </si>
  <si>
    <t>死神 17</t>
  </si>
  <si>
    <t>死神 18</t>
  </si>
  <si>
    <t>死神 19</t>
  </si>
  <si>
    <t>盒装</t>
  </si>
  <si>
    <t>微店</t>
  </si>
  <si>
    <t>册数</t>
  </si>
  <si>
    <t>出版社</t>
  </si>
  <si>
    <t>小澪的自拍 限定版</t>
  </si>
  <si>
    <t>逆流茶会</t>
  </si>
  <si>
    <t>钢之炼金术师1-9（银盒）</t>
  </si>
  <si>
    <t>四叶游戏</t>
  </si>
  <si>
    <t>家有贱狗 1</t>
  </si>
  <si>
    <t>家有贱狗 2</t>
  </si>
  <si>
    <t>钢之炼金术师10-18（银盒）</t>
  </si>
  <si>
    <t>超时空之轮</t>
  </si>
  <si>
    <t>克罗诺</t>
  </si>
  <si>
    <t>史克威尔艾尼克斯</t>
  </si>
  <si>
    <t>玛尔</t>
  </si>
  <si>
    <t>危险调查员 9-12</t>
  </si>
  <si>
    <t>危险调查员 1-4</t>
  </si>
  <si>
    <t>「与妹妹（催眠状态）爱意满满」 妹妹</t>
  </si>
  <si>
    <t>天狗</t>
  </si>
  <si>
    <t>Eclipse Feather</t>
  </si>
  <si>
    <t>CoRA</t>
  </si>
  <si>
    <t>仁医 1</t>
  </si>
  <si>
    <t>仁医 2</t>
  </si>
  <si>
    <t>仁医 3</t>
  </si>
  <si>
    <t>仁医 4</t>
  </si>
  <si>
    <t>仁医 5</t>
  </si>
  <si>
    <t>仁医 6</t>
  </si>
  <si>
    <t>仁医 7</t>
  </si>
  <si>
    <t>仁医 8</t>
  </si>
  <si>
    <t>仁医 9</t>
  </si>
  <si>
    <t>仁医 10</t>
  </si>
  <si>
    <t>仁医 11</t>
  </si>
  <si>
    <t>仁医 12</t>
  </si>
  <si>
    <t>仁医 13</t>
  </si>
  <si>
    <t>村上纪香</t>
  </si>
  <si>
    <t>黑猫 1</t>
  </si>
  <si>
    <t>BINDing</t>
  </si>
  <si>
    <t>Native</t>
  </si>
  <si>
    <t>美月 兔女郎 特别版</t>
  </si>
  <si>
    <t>银魂 2</t>
  </si>
  <si>
    <t>银魂 3</t>
  </si>
  <si>
    <t>银魂 4</t>
  </si>
  <si>
    <t>银魂 5</t>
  </si>
  <si>
    <t>银魂 6</t>
  </si>
  <si>
    <t>银魂 7</t>
  </si>
  <si>
    <t>银魂 8</t>
  </si>
  <si>
    <t>银魂 9</t>
  </si>
  <si>
    <t>黑猫 2</t>
  </si>
  <si>
    <t>黑猫 3</t>
  </si>
  <si>
    <t>黑猫 4</t>
  </si>
  <si>
    <t>黑猫 5</t>
  </si>
  <si>
    <t>黑猫 6</t>
  </si>
  <si>
    <t>黑猫 7</t>
  </si>
  <si>
    <t>黑猫 8</t>
  </si>
  <si>
    <t>黑猫 9</t>
  </si>
  <si>
    <t>黑猫 10</t>
  </si>
  <si>
    <t>冷面天使 1</t>
  </si>
  <si>
    <t>冷面天使 2</t>
  </si>
  <si>
    <t>冷面天使 3</t>
  </si>
  <si>
    <t>抖音，第29本15</t>
  </si>
  <si>
    <t>冰海战记</t>
  </si>
  <si>
    <t xml:space="preserve">胜利女神：新的希望 </t>
  </si>
  <si>
    <t>S.K.P</t>
  </si>
  <si>
    <t>暗之声</t>
  </si>
  <si>
    <t>傀儡马戏团</t>
  </si>
  <si>
    <t>藤田和日郎</t>
  </si>
  <si>
    <t>抖音（预售）</t>
  </si>
  <si>
    <t>新·暗之声 溃谈</t>
  </si>
  <si>
    <t>地狱乐 解体新书</t>
  </si>
  <si>
    <t>公式书</t>
  </si>
  <si>
    <t>贺来友治</t>
  </si>
  <si>
    <t>抖音 绿山墙 仓播</t>
  </si>
  <si>
    <t>伊藤润二 4 至死不渝的爱</t>
  </si>
  <si>
    <t>伊雷娜</t>
  </si>
  <si>
    <t>暴龙兽</t>
  </si>
  <si>
    <t>百鬼小当家～阴～</t>
  </si>
  <si>
    <t>椎桥宽</t>
  </si>
  <si>
    <t>首刷</t>
  </si>
  <si>
    <t>港版</t>
  </si>
  <si>
    <t>龙珠 超全集 1</t>
  </si>
  <si>
    <t>龙珠 超全集 2</t>
  </si>
  <si>
    <t>东京爱情故事</t>
  </si>
  <si>
    <t>抖音 卖</t>
  </si>
  <si>
    <t>龙珠 超全集 3</t>
  </si>
  <si>
    <t>龙珠 超全集 4</t>
  </si>
  <si>
    <t>kakifly</t>
  </si>
  <si>
    <t>K-ON！轻音部</t>
  </si>
  <si>
    <t>45周年纪念版</t>
  </si>
  <si>
    <t>高分少女</t>
  </si>
  <si>
    <t>押切莲介</t>
  </si>
  <si>
    <t>新川直司</t>
  </si>
  <si>
    <t>孤高之人 13</t>
  </si>
  <si>
    <t>高桥叶介</t>
  </si>
  <si>
    <t>⁠梦幻绅士三部曲</t>
  </si>
  <si>
    <t>抖音 【幻想篇】、【逢魔篇】、【迷宫篇】</t>
  </si>
  <si>
    <t>士道 16</t>
  </si>
  <si>
    <t>高桥努</t>
  </si>
  <si>
    <t>会员购</t>
  </si>
  <si>
    <t>壬生义士传 1</t>
  </si>
  <si>
    <t>永安巧</t>
  </si>
  <si>
    <t>壬生义士传 2</t>
  </si>
  <si>
    <t>大今良时</t>
  </si>
  <si>
    <t>声之形 1-4</t>
  </si>
  <si>
    <t>四月是你的谎言 1-3</t>
  </si>
  <si>
    <t>抖音 《艳阳少女》，《RASH!! 辣妹狱医》</t>
  </si>
  <si>
    <t>银河巡警加克</t>
  </si>
  <si>
    <t>抖音 42</t>
  </si>
  <si>
    <t>抖音 45</t>
  </si>
  <si>
    <t>抖音 43</t>
  </si>
  <si>
    <t>抖音 44</t>
  </si>
  <si>
    <t>抖音 40</t>
  </si>
  <si>
    <t>抖音 35</t>
  </si>
  <si>
    <t>抖音 47</t>
  </si>
  <si>
    <t>抖音 49</t>
  </si>
  <si>
    <t>抖音 46</t>
  </si>
  <si>
    <t>抖音 52</t>
  </si>
  <si>
    <t>抖音 55</t>
  </si>
  <si>
    <t>人间失格</t>
  </si>
  <si>
    <t>噬亡村</t>
  </si>
  <si>
    <t>迷宫饭</t>
  </si>
  <si>
    <t>碧蓝之海 25</t>
  </si>
  <si>
    <t>碧蓝之海 24</t>
  </si>
  <si>
    <t>乐淘</t>
  </si>
  <si>
    <t>老于抖音</t>
  </si>
  <si>
    <t>电锯人 1-22</t>
  </si>
  <si>
    <t>淘宝（预售）</t>
  </si>
  <si>
    <t>魔都精兵的奴隶 20</t>
  </si>
  <si>
    <t>三角草</t>
  </si>
  <si>
    <t>九井谅子</t>
  </si>
  <si>
    <t>青文</t>
  </si>
  <si>
    <t>东立</t>
  </si>
  <si>
    <t>二宫正明</t>
  </si>
  <si>
    <t>尖端</t>
  </si>
  <si>
    <t>壬生义士传 3</t>
  </si>
  <si>
    <t>玉皇朝</t>
  </si>
  <si>
    <t>独步</t>
  </si>
  <si>
    <t>文化传信</t>
  </si>
  <si>
    <t>长鸿</t>
  </si>
  <si>
    <t>异形世界</t>
  </si>
  <si>
    <t>画集</t>
  </si>
  <si>
    <t>伊藤润二展 诱惑 Illustrations</t>
  </si>
  <si>
    <t>壬生义士传 4</t>
  </si>
  <si>
    <t>七月镜一</t>
  </si>
  <si>
    <t>ARMS 神臂 4</t>
  </si>
  <si>
    <t>抖音 41</t>
  </si>
  <si>
    <t>葬送的芙莉莲 15</t>
  </si>
  <si>
    <t>死神 20</t>
  </si>
  <si>
    <t>抖音 34</t>
  </si>
  <si>
    <t>家有贱狗 3</t>
  </si>
  <si>
    <t>25年8月，卖，赔偿50</t>
  </si>
  <si>
    <t>冷面天使 4</t>
  </si>
  <si>
    <t>ARMS 神臂 1</t>
  </si>
  <si>
    <t>毛塚了一郎</t>
  </si>
  <si>
    <t>音盘纪行 1</t>
  </si>
  <si>
    <t>银岭 1</t>
  </si>
  <si>
    <t>琴山短篇集 FAN-FICTION</t>
  </si>
  <si>
    <t>琴山</t>
  </si>
  <si>
    <t>加鲁鲁</t>
  </si>
  <si>
    <t>首限</t>
  </si>
  <si>
    <t>After God 神堕之境 1-4</t>
  </si>
  <si>
    <t>江野朱美</t>
  </si>
  <si>
    <t>ARMS 神臂 2</t>
  </si>
  <si>
    <t>阿朽</t>
  </si>
  <si>
    <t>银岭 2</t>
  </si>
  <si>
    <t>侦探学园Q 3</t>
  </si>
  <si>
    <t>多美好的人生</t>
  </si>
  <si>
    <t>两只兔子</t>
  </si>
  <si>
    <t>山うた</t>
  </si>
  <si>
    <t>Acro Trip 顶尖恶路</t>
  </si>
  <si>
    <t>佐和田米</t>
  </si>
  <si>
    <t>音盘纪行 2</t>
  </si>
  <si>
    <t>败犬女主 8.5</t>
  </si>
  <si>
    <t>K-9 警视厅公安部公安第9课异能对策系</t>
  </si>
  <si>
    <t>奥山哲矢</t>
  </si>
  <si>
    <t>黑井白</t>
  </si>
  <si>
    <t>利维坦</t>
  </si>
  <si>
    <t>家有贱狗 4</t>
  </si>
  <si>
    <t>银魂 10</t>
  </si>
  <si>
    <t>地心历险记</t>
  </si>
  <si>
    <t>仓薗纪彦</t>
  </si>
  <si>
    <t>漫画大学</t>
  </si>
  <si>
    <t>漫画生物学</t>
  </si>
  <si>
    <t>ARMS 神臂 5</t>
  </si>
  <si>
    <t>ARMS 神臂 13</t>
  </si>
  <si>
    <t>守护甜心 1</t>
  </si>
  <si>
    <t>守护甜心 2</t>
  </si>
  <si>
    <t>守护甜心 3</t>
  </si>
  <si>
    <t>守护甜心 4</t>
  </si>
  <si>
    <t>守护甜心 5</t>
  </si>
  <si>
    <t>守护甜心 6</t>
  </si>
  <si>
    <t>死神 21</t>
  </si>
  <si>
    <t>新装版</t>
  </si>
  <si>
    <t>矢泽爱</t>
  </si>
  <si>
    <t>ARMS 神臂 6</t>
  </si>
  <si>
    <t>春场葱</t>
  </si>
  <si>
    <t>五等分的新娘 6</t>
  </si>
  <si>
    <t>五等分的新娘 2</t>
  </si>
  <si>
    <t>ARMS 神臂 15</t>
  </si>
  <si>
    <t>小野玄晖</t>
  </si>
  <si>
    <t>妃真与殿！4</t>
  </si>
  <si>
    <t>冷面天使 5</t>
  </si>
  <si>
    <t>妃真与殿！3</t>
  </si>
  <si>
    <t>桂＆明 桂正和✕鸟山明共同短篇集</t>
  </si>
  <si>
    <t>愚者之夜 1</t>
  </si>
  <si>
    <t>愚者之夜 3</t>
  </si>
  <si>
    <t>安田佳澄</t>
  </si>
  <si>
    <t>黑猫 11</t>
  </si>
  <si>
    <t>妃真与殿！1</t>
  </si>
  <si>
    <t>妃真与殿！2</t>
  </si>
  <si>
    <t>妃真与殿！5</t>
  </si>
  <si>
    <t>BLAME! 0 NOiSE</t>
  </si>
  <si>
    <t>贰瓶勉</t>
  </si>
  <si>
    <t>SLAM DUNK 灌篮高手总集篇</t>
  </si>
  <si>
    <t>靠死亡游戏混饭吃 2</t>
  </si>
  <si>
    <t>万岁寿大宴会</t>
  </si>
  <si>
    <t>靠死亡游戏混饭吃 4</t>
  </si>
  <si>
    <t>靠死亡游戏混饭吃 3</t>
  </si>
  <si>
    <t>葬送的芙莉莲 同人合集～徜徉另一趟旅程的魔法～</t>
  </si>
  <si>
    <t>姊嫁物語〈WIDE版〉(1)</t>
  </si>
  <si>
    <t>森薰</t>
  </si>
  <si>
    <t>约会大作战 DATE A LIVE 末路人十香</t>
  </si>
  <si>
    <t>犬威赤彦</t>
  </si>
  <si>
    <t>行星POOL</t>
  </si>
  <si>
    <t>五等分的新娘 7</t>
  </si>
  <si>
    <t>五等分的新娘 5</t>
  </si>
  <si>
    <t>NASA太空梦</t>
  </si>
  <si>
    <t>噬魂者 1-10</t>
  </si>
  <si>
    <t>大久保笃</t>
  </si>
  <si>
    <t>黑猫 12</t>
  </si>
  <si>
    <t>中信</t>
  </si>
  <si>
    <t>四川美术</t>
  </si>
  <si>
    <t>脸谱</t>
  </si>
  <si>
    <t>磨铁</t>
  </si>
  <si>
    <t>仁医</t>
  </si>
  <si>
    <t>东贩</t>
  </si>
  <si>
    <t>监狱学园</t>
  </si>
  <si>
    <t>平本彰</t>
  </si>
  <si>
    <t>26年6月，弃单</t>
  </si>
  <si>
    <t>妃真与殿！6</t>
  </si>
  <si>
    <t>怪医芙兰</t>
  </si>
  <si>
    <t>北条司短篇集（三本）</t>
  </si>
  <si>
    <t>四川科学技术</t>
  </si>
  <si>
    <t>安徽少年儿童</t>
  </si>
  <si>
    <t>新星</t>
  </si>
  <si>
    <t>九州</t>
  </si>
  <si>
    <t>隐藏技能 BUG EGO 3</t>
  </si>
  <si>
    <t>隐藏技能 BUG EGO 2</t>
  </si>
  <si>
    <t>隐藏技能 BUG EGO 1</t>
  </si>
  <si>
    <t>湖南文艺</t>
  </si>
  <si>
    <t>孤高之人 14</t>
  </si>
  <si>
    <t>孤高之人 15</t>
  </si>
  <si>
    <t>孤高之人 16</t>
  </si>
  <si>
    <t>孤高之人 17</t>
  </si>
  <si>
    <t>集英社</t>
  </si>
  <si>
    <t>香港文化传信</t>
  </si>
  <si>
    <t>朝日新闻</t>
  </si>
  <si>
    <t>小学馆</t>
  </si>
  <si>
    <t>木木津克久</t>
  </si>
  <si>
    <t>愚者之夜 2</t>
  </si>
  <si>
    <t>靠死亡游戏混饭吃 1</t>
  </si>
  <si>
    <t>26年6月，退掉</t>
  </si>
  <si>
    <t>星愿书店（运费200）</t>
  </si>
  <si>
    <t>一骑当千 1</t>
  </si>
  <si>
    <t>一骑当千 3</t>
  </si>
  <si>
    <t>一骑当千 4</t>
  </si>
  <si>
    <t>盐崎雄二</t>
  </si>
  <si>
    <t>一骑当千 2</t>
  </si>
  <si>
    <t>星愿书店（运费265）</t>
  </si>
  <si>
    <t>壬生义士传 5</t>
  </si>
  <si>
    <t>ARMS 神臂 3</t>
  </si>
  <si>
    <t>音盘纪行 3</t>
  </si>
  <si>
    <t>五等分的新娘 1</t>
  </si>
  <si>
    <t>五等分的新娘 3</t>
  </si>
  <si>
    <t>五等分的新娘 4</t>
  </si>
  <si>
    <t>愚者之夜 4</t>
  </si>
  <si>
    <t>愚者之夜 5</t>
  </si>
  <si>
    <t>愚者之夜 6</t>
  </si>
  <si>
    <t>愚者之夜 7</t>
  </si>
  <si>
    <t>愚者之夜 8</t>
  </si>
  <si>
    <t>愚者之夜 9</t>
  </si>
  <si>
    <t>愚者之夜 10</t>
  </si>
  <si>
    <t>妃真与殿！7</t>
  </si>
  <si>
    <t>异变者</t>
  </si>
  <si>
    <t>山本英夫</t>
  </si>
  <si>
    <t>淘宝 53</t>
  </si>
  <si>
    <t>抖音 29</t>
  </si>
  <si>
    <t>淘宝 63</t>
  </si>
  <si>
    <t>淘宝 88</t>
  </si>
  <si>
    <t>抖音 38</t>
  </si>
  <si>
    <t>抖音 37</t>
  </si>
  <si>
    <t>五等分的新娘</t>
  </si>
  <si>
    <t>勇者阿邦与狱炎魔王 1</t>
  </si>
  <si>
    <t>三条陆</t>
  </si>
  <si>
    <t>犬屋敷</t>
  </si>
  <si>
    <t>抖音 32</t>
  </si>
  <si>
    <t>死神 22</t>
  </si>
  <si>
    <t>星愿书店（运费171）</t>
  </si>
  <si>
    <t>天女兽</t>
  </si>
  <si>
    <t>首</t>
  </si>
  <si>
    <t>恋上换装娃娃</t>
  </si>
  <si>
    <t>烙印勇士 43</t>
  </si>
  <si>
    <t>ARMS 神臂 7</t>
  </si>
  <si>
    <t>电锯人 23</t>
  </si>
  <si>
    <t>福田晋一</t>
  </si>
  <si>
    <t>剑豪生死斗</t>
  </si>
  <si>
    <t>ARMS 神臂 8</t>
  </si>
  <si>
    <t>ARMS 神臂 9</t>
  </si>
  <si>
    <t>ARMS 神臂 10</t>
  </si>
  <si>
    <t>ARMS 神臂 11</t>
  </si>
  <si>
    <t>ARMS 神臂 12</t>
  </si>
  <si>
    <t>ARMS 神臂 14</t>
  </si>
  <si>
    <t>天津人民美术</t>
  </si>
  <si>
    <t>侦探学园Q 1</t>
  </si>
  <si>
    <t>侦探学园Q 2</t>
  </si>
  <si>
    <t>玩玩的恋爱关系 1</t>
  </si>
  <si>
    <t>玩玩的恋爱关系 2</t>
  </si>
  <si>
    <t>NANA 1</t>
  </si>
  <si>
    <t>NANA 2</t>
  </si>
  <si>
    <t>NANA 3</t>
  </si>
  <si>
    <t>NANA 4</t>
  </si>
  <si>
    <t>抖音，限 卖</t>
  </si>
  <si>
    <t>黑猫 1-12</t>
  </si>
  <si>
    <t>银魂 1-10</t>
  </si>
  <si>
    <t>家有贱狗 1-4</t>
  </si>
  <si>
    <t>抖音 28</t>
  </si>
  <si>
    <t>抖音 26</t>
  </si>
  <si>
    <t>抖音 33</t>
  </si>
  <si>
    <t>抖音（预售） 37</t>
  </si>
  <si>
    <t>抖音（预售） 34</t>
  </si>
  <si>
    <t>横行太保 1-10</t>
  </si>
  <si>
    <t>星愿书店（运费115）</t>
  </si>
  <si>
    <t>烙印勇士 1-41</t>
  </si>
  <si>
    <t>勇者阿邦与狱炎魔王 2</t>
  </si>
  <si>
    <t>勇者阿邦与狱炎魔王 3</t>
  </si>
  <si>
    <t>勇者阿邦与狱炎魔王 4</t>
  </si>
  <si>
    <t>勇者阿邦与狱炎魔王 5</t>
  </si>
  <si>
    <t>勇者阿邦与狱炎魔王 6</t>
  </si>
  <si>
    <t>勇者阿邦与狱炎魔王 7</t>
  </si>
  <si>
    <t>烙印勇士 42</t>
  </si>
  <si>
    <t>大32K</t>
  </si>
  <si>
    <t>GANTZ:E 1-9</t>
  </si>
  <si>
    <t>雾草忍法帖 1-8</t>
  </si>
  <si>
    <t>春辉</t>
  </si>
  <si>
    <t>GANTZ:E 1-4</t>
  </si>
  <si>
    <t>GANTZ:G 1-3</t>
  </si>
  <si>
    <t>我是真悟</t>
  </si>
  <si>
    <t>悟空和琪琪</t>
  </si>
  <si>
    <t>暗杀教室 3</t>
  </si>
  <si>
    <t>暗杀教室 1-2</t>
  </si>
  <si>
    <t>松井优征</t>
  </si>
  <si>
    <t>博客来 卖</t>
  </si>
  <si>
    <t>死亡笔记 人物设定集</t>
  </si>
  <si>
    <t>暗杀教室 毕业纪念册的一课</t>
  </si>
  <si>
    <t>暗杀教室 点名的一课</t>
  </si>
  <si>
    <t>监狱学园 12</t>
  </si>
  <si>
    <t>终将成为你 精选集</t>
  </si>
  <si>
    <t>终将成为你 佐伯沙弥香的追忆</t>
  </si>
  <si>
    <t>小说</t>
  </si>
  <si>
    <t>安达与岛村 1-2</t>
  </si>
  <si>
    <t>柚原もけ</t>
  </si>
  <si>
    <t>神乐钵 9</t>
  </si>
  <si>
    <t>外薗健</t>
  </si>
  <si>
    <t>钢之炼金术师10-18（黑盒）</t>
  </si>
  <si>
    <t>抖音 微瑕</t>
  </si>
  <si>
    <t>Toy(e)</t>
  </si>
  <si>
    <t>秒速5厘米 1</t>
  </si>
  <si>
    <t>清家雪子</t>
  </si>
  <si>
    <t>摩托车生活纪行</t>
  </si>
  <si>
    <t>芦奈野仁</t>
  </si>
  <si>
    <t>神乐钵 1</t>
  </si>
  <si>
    <t>有害超兽 1</t>
  </si>
  <si>
    <t>男孩子气的女友超可爱 1</t>
  </si>
  <si>
    <t>柳田史太</t>
  </si>
  <si>
    <t>男孩子气的女友超可爱 2</t>
  </si>
  <si>
    <t>乌树仓文</t>
  </si>
  <si>
    <t>灭绝动物物语 1</t>
  </si>
  <si>
    <t>魔法少女小圆 叛逆的故事</t>
  </si>
  <si>
    <t>Hanokage</t>
  </si>
  <si>
    <t>最终兵器彼女</t>
  </si>
  <si>
    <t>神乐钵 4</t>
  </si>
  <si>
    <t>闲鱼（运费22，拆10本）</t>
  </si>
  <si>
    <t>妖幻三重奏</t>
  </si>
  <si>
    <t>14-16</t>
  </si>
  <si>
    <t>闲鱼，限 1-3拆</t>
  </si>
  <si>
    <t>神乐钵 5</t>
  </si>
  <si>
    <t>神乐钵 7</t>
  </si>
  <si>
    <t>福星小子 10-18</t>
  </si>
  <si>
    <t>噬谎者 2</t>
  </si>
  <si>
    <t>迫稔雄</t>
  </si>
  <si>
    <t>噬谎者 4</t>
  </si>
  <si>
    <t>噬谎者 7</t>
  </si>
  <si>
    <t>只想告诉你 2</t>
  </si>
  <si>
    <t>只想告诉你 15</t>
  </si>
  <si>
    <t>椎名轻穗</t>
  </si>
  <si>
    <t>GIGA SUMMER JUMP</t>
  </si>
  <si>
    <t>杂志</t>
  </si>
  <si>
    <t>抖音 0</t>
  </si>
  <si>
    <t>抖音 36</t>
  </si>
  <si>
    <t>抖音 30</t>
  </si>
  <si>
    <t>抖音 63</t>
  </si>
  <si>
    <t>死神 1-22</t>
  </si>
  <si>
    <t>星愿书店（运费168）</t>
  </si>
  <si>
    <t>村祭</t>
  </si>
  <si>
    <t>妄想老师</t>
  </si>
  <si>
    <t>返利</t>
  </si>
  <si>
    <t>实际价格</t>
  </si>
  <si>
    <t>京东，卖</t>
  </si>
  <si>
    <t>星愿+代购（运费）</t>
  </si>
  <si>
    <t>伊芙束带</t>
  </si>
  <si>
    <t>星愿书店（运费170）卖</t>
  </si>
  <si>
    <t>龙珠 06 布玛&amp;孙悟空</t>
  </si>
  <si>
    <t>DESKTOP REAL McCOY</t>
  </si>
  <si>
    <t>红缎带军团</t>
  </si>
  <si>
    <t>D赏 潜水艇</t>
  </si>
  <si>
    <t>星愿书店（运费201）</t>
  </si>
  <si>
    <t>冷面天使 6</t>
  </si>
  <si>
    <t>入魂</t>
  </si>
  <si>
    <t>27年2月</t>
  </si>
  <si>
    <t>27年5月</t>
  </si>
  <si>
    <t>冰箱贴 悟天克斯+蔬菜人</t>
  </si>
  <si>
    <t>8个，卖4个</t>
  </si>
  <si>
    <t>26年4月，卖</t>
  </si>
  <si>
    <t>愚者之夜 11</t>
  </si>
  <si>
    <t>少年的深渊</t>
  </si>
  <si>
    <t>神乐钵 8</t>
  </si>
  <si>
    <t>星愿+代购（运费353）</t>
  </si>
  <si>
    <t>星愿书店（运费202）</t>
  </si>
  <si>
    <t>春晖</t>
  </si>
  <si>
    <t>妄想老师 1-14+SP+外传1-3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</si>
</sst>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sz val="11"/>
      <color theme="1"/>
      <name val="Microsoft YaHei"/>
      <family val="2"/>
    </font>
    <font>
      <sz val="11"/>
      <color theme="1"/>
      <name val="Microsoft JhengHei"/>
      <family val="2"/>
      <charset val="136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10" fontId="0" fillId="0" borderId="0" xfId="0" applyNumberFormat="1"/>
    <xf numFmtId="10" fontId="2" fillId="0" borderId="0" xfId="0" applyNumberFormat="1" applyFont="1"/>
    <xf numFmtId="0" fontId="2" fillId="0" borderId="0" xfId="0" applyFont="1" applyFill="1"/>
    <xf numFmtId="10" fontId="0" fillId="0" borderId="1" xfId="0" applyNumberFormat="1" applyBorder="1"/>
    <xf numFmtId="0" fontId="2" fillId="0" borderId="1" xfId="0" applyFont="1" applyFill="1" applyBorder="1"/>
    <xf numFmtId="0" fontId="3" fillId="2" borderId="0" xfId="0" applyFont="1" applyFill="1"/>
    <xf numFmtId="49" fontId="2" fillId="0" borderId="0" xfId="0" applyNumberFormat="1" applyFont="1" applyFill="1"/>
    <xf numFmtId="49" fontId="0" fillId="0" borderId="0" xfId="0" applyNumberFormat="1"/>
    <xf numFmtId="10" fontId="2" fillId="0" borderId="0" xfId="0" applyNumberFormat="1" applyFont="1" applyFill="1"/>
    <xf numFmtId="10" fontId="2" fillId="0" borderId="1" xfId="0" applyNumberFormat="1" applyFont="1" applyBorder="1"/>
    <xf numFmtId="0" fontId="5" fillId="0" borderId="1" xfId="0" applyFont="1" applyBorder="1"/>
    <xf numFmtId="0" fontId="4" fillId="0" borderId="1" xfId="0" applyFont="1" applyFill="1" applyBorder="1"/>
    <xf numFmtId="10" fontId="4" fillId="0" borderId="1" xfId="0" applyNumberFormat="1" applyFont="1" applyBorder="1"/>
    <xf numFmtId="0" fontId="4" fillId="0" borderId="1" xfId="0" applyFont="1" applyBorder="1"/>
    <xf numFmtId="0" fontId="2" fillId="0" borderId="0" xfId="0" applyFont="1" applyFill="1" applyAlignment="1">
      <alignment wrapText="1"/>
    </xf>
    <xf numFmtId="0" fontId="4" fillId="0" borderId="0" xfId="0" applyFont="1" applyFill="1"/>
    <xf numFmtId="0" fontId="0" fillId="0" borderId="0" xfId="0" applyFill="1"/>
    <xf numFmtId="0" fontId="2" fillId="3" borderId="0" xfId="0" applyFont="1" applyFill="1"/>
    <xf numFmtId="10" fontId="2" fillId="0" borderId="0" xfId="1" applyNumberFormat="1" applyFont="1" applyFill="1"/>
    <xf numFmtId="0" fontId="0" fillId="3" borderId="0" xfId="0" applyFill="1"/>
    <xf numFmtId="10" fontId="2" fillId="3" borderId="0" xfId="0" applyNumberFormat="1" applyFont="1" applyFill="1"/>
  </cellXfs>
  <cellStyles count="2">
    <cellStyle name="Normal" xfId="0" builtinId="0"/>
    <cellStyle name="Percent" xfId="1" builtinId="5"/>
  </cellStyles>
  <dxfs count="189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4000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R183"/>
  <sheetViews>
    <sheetView topLeftCell="B1" zoomScaleNormal="100" workbookViewId="0">
      <pane ySplit="1" topLeftCell="A175" activePane="bottomLeft" state="frozen"/>
      <selection pane="bottomLeft" sqref="A1:R183"/>
    </sheetView>
  </sheetViews>
  <sheetFormatPr defaultRowHeight="15.6"/>
  <cols>
    <col min="1" max="1" width="23.6640625" bestFit="1" customWidth="1"/>
    <col min="2" max="2" width="15.33203125" customWidth="1"/>
    <col min="3" max="3" width="48.44140625" style="1" customWidth="1"/>
    <col min="4" max="5" width="11.6640625" bestFit="1" customWidth="1"/>
    <col min="6" max="9" width="7.6640625" bestFit="1" customWidth="1"/>
    <col min="10" max="11" width="11.6640625" bestFit="1" customWidth="1"/>
    <col min="12" max="12" width="7.6640625" bestFit="1" customWidth="1"/>
    <col min="13" max="13" width="10.44140625" style="4" bestFit="1" customWidth="1"/>
    <col min="14" max="14" width="34.33203125" customWidth="1"/>
    <col min="15" max="15" width="14.6640625" customWidth="1"/>
    <col min="16" max="16" width="15.6640625" bestFit="1" customWidth="1"/>
    <col min="17" max="17" width="12" bestFit="1" customWidth="1"/>
  </cols>
  <sheetData>
    <row r="1" spans="1:18" ht="16.2">
      <c r="A1" s="9" t="s">
        <v>12</v>
      </c>
      <c r="B1" s="9" t="s">
        <v>31</v>
      </c>
      <c r="C1" s="9" t="s">
        <v>0</v>
      </c>
      <c r="D1" s="9" t="s">
        <v>7</v>
      </c>
      <c r="E1" s="9" t="s">
        <v>1</v>
      </c>
      <c r="F1" s="9" t="s">
        <v>6</v>
      </c>
      <c r="G1" s="9" t="s">
        <v>2</v>
      </c>
      <c r="H1" s="9" t="s">
        <v>10</v>
      </c>
      <c r="I1" s="9" t="s">
        <v>11</v>
      </c>
      <c r="J1" s="9" t="s">
        <v>279</v>
      </c>
      <c r="K1" s="9" t="s">
        <v>3</v>
      </c>
      <c r="L1" s="9" t="s">
        <v>280</v>
      </c>
      <c r="M1" s="9" t="s">
        <v>267</v>
      </c>
      <c r="N1" s="9" t="s">
        <v>22</v>
      </c>
      <c r="O1" s="9" t="s">
        <v>285</v>
      </c>
      <c r="P1" s="9" t="s">
        <v>350</v>
      </c>
    </row>
    <row r="2" spans="1:18" hidden="1">
      <c r="A2" s="1" t="s">
        <v>13</v>
      </c>
      <c r="B2" s="1" t="s">
        <v>94</v>
      </c>
      <c r="C2" s="1" t="s">
        <v>112</v>
      </c>
      <c r="D2" s="1" t="s">
        <v>29</v>
      </c>
      <c r="E2" s="1">
        <v>153</v>
      </c>
      <c r="F2" s="1">
        <v>41</v>
      </c>
      <c r="G2" s="1" t="s">
        <v>116</v>
      </c>
      <c r="H2" s="1"/>
      <c r="I2" s="1">
        <f>(E2+F2+H2)</f>
        <v>194</v>
      </c>
      <c r="J2" s="1">
        <v>194</v>
      </c>
      <c r="K2" s="1">
        <v>165</v>
      </c>
      <c r="L2" s="1">
        <f>(K2-J2)</f>
        <v>-29</v>
      </c>
      <c r="M2" s="5">
        <f>ROUND(L2/J2,4)</f>
        <v>-0.14949999999999999</v>
      </c>
      <c r="N2" s="1"/>
      <c r="O2" s="1"/>
    </row>
    <row r="3" spans="1:18">
      <c r="A3" s="1" t="s">
        <v>13</v>
      </c>
      <c r="B3" s="1" t="s">
        <v>77</v>
      </c>
      <c r="C3" s="1" t="s">
        <v>33</v>
      </c>
      <c r="D3" s="1" t="s">
        <v>29</v>
      </c>
      <c r="E3" s="1">
        <v>433</v>
      </c>
      <c r="F3" s="1">
        <v>84</v>
      </c>
      <c r="G3" s="1" t="s">
        <v>5</v>
      </c>
      <c r="H3" s="1"/>
      <c r="I3" s="1">
        <f t="shared" ref="I3:I23" si="0">(E3+F3+H3)</f>
        <v>517</v>
      </c>
      <c r="J3" s="1"/>
      <c r="K3" s="1"/>
      <c r="L3" s="1"/>
      <c r="M3" s="5"/>
      <c r="N3" s="1"/>
      <c r="O3" s="1"/>
      <c r="Q3" s="14" t="s">
        <v>423</v>
      </c>
      <c r="R3" s="17">
        <f>SUM(I:I)</f>
        <v>148144</v>
      </c>
    </row>
    <row r="4" spans="1:18">
      <c r="A4" s="1" t="s">
        <v>13</v>
      </c>
      <c r="B4" s="1" t="s">
        <v>35</v>
      </c>
      <c r="C4" s="1" t="s">
        <v>34</v>
      </c>
      <c r="D4" s="1" t="s">
        <v>29</v>
      </c>
      <c r="E4" s="1">
        <v>230</v>
      </c>
      <c r="F4" s="1">
        <v>23</v>
      </c>
      <c r="G4" s="1" t="s">
        <v>5</v>
      </c>
      <c r="H4" s="1"/>
      <c r="I4" s="1">
        <f t="shared" si="0"/>
        <v>253</v>
      </c>
      <c r="J4" s="1"/>
      <c r="K4" s="1"/>
      <c r="L4" s="1"/>
      <c r="M4" s="5"/>
      <c r="N4" s="1"/>
      <c r="O4" s="1"/>
      <c r="Q4" s="14" t="s">
        <v>424</v>
      </c>
      <c r="R4" s="17">
        <f>SUM(K:K)</f>
        <v>95089</v>
      </c>
    </row>
    <row r="5" spans="1:18">
      <c r="A5" s="1" t="s">
        <v>13</v>
      </c>
      <c r="B5" s="1" t="s">
        <v>77</v>
      </c>
      <c r="C5" s="1" t="s">
        <v>112</v>
      </c>
      <c r="D5" s="1" t="s">
        <v>8</v>
      </c>
      <c r="E5" s="1">
        <v>435</v>
      </c>
      <c r="F5" s="1">
        <v>73</v>
      </c>
      <c r="G5" s="1" t="s">
        <v>5</v>
      </c>
      <c r="H5" s="1">
        <v>17</v>
      </c>
      <c r="I5" s="1">
        <f t="shared" si="0"/>
        <v>525</v>
      </c>
      <c r="J5" s="1"/>
      <c r="K5" s="1"/>
      <c r="L5" s="1"/>
      <c r="M5" s="5"/>
      <c r="N5" s="1"/>
      <c r="O5" s="1"/>
      <c r="Q5" s="14" t="s">
        <v>425</v>
      </c>
      <c r="R5" s="17">
        <f>SUM(J:J)</f>
        <v>84382</v>
      </c>
    </row>
    <row r="6" spans="1:18">
      <c r="A6" s="1" t="s">
        <v>13</v>
      </c>
      <c r="B6" s="1" t="s">
        <v>92</v>
      </c>
      <c r="C6" s="1" t="s">
        <v>112</v>
      </c>
      <c r="D6" s="1" t="s">
        <v>8</v>
      </c>
      <c r="E6" s="1">
        <v>194</v>
      </c>
      <c r="F6" s="1">
        <v>50</v>
      </c>
      <c r="G6" s="1" t="s">
        <v>5</v>
      </c>
      <c r="H6" s="1">
        <v>17</v>
      </c>
      <c r="I6" s="1">
        <f t="shared" si="0"/>
        <v>261</v>
      </c>
      <c r="J6" s="1"/>
      <c r="K6" s="1"/>
      <c r="L6" s="1"/>
      <c r="M6" s="5"/>
      <c r="N6" s="1"/>
      <c r="O6" s="1"/>
      <c r="Q6" s="14" t="s">
        <v>426</v>
      </c>
      <c r="R6" s="17">
        <f>SUM(L:L)</f>
        <v>10707</v>
      </c>
    </row>
    <row r="7" spans="1:18">
      <c r="A7" s="1" t="s">
        <v>13</v>
      </c>
      <c r="B7" s="1" t="s">
        <v>35</v>
      </c>
      <c r="C7" s="1" t="s">
        <v>36</v>
      </c>
      <c r="D7" s="1" t="s">
        <v>29</v>
      </c>
      <c r="E7" s="1">
        <v>397</v>
      </c>
      <c r="F7" s="1">
        <v>28</v>
      </c>
      <c r="G7" s="1" t="s">
        <v>5</v>
      </c>
      <c r="H7" s="1">
        <v>17</v>
      </c>
      <c r="I7" s="1">
        <f t="shared" si="0"/>
        <v>442</v>
      </c>
      <c r="J7" s="1"/>
      <c r="K7" s="1"/>
      <c r="L7" s="1"/>
      <c r="M7" s="5"/>
      <c r="N7" s="1"/>
      <c r="O7" s="1"/>
      <c r="Q7" s="14" t="s">
        <v>427</v>
      </c>
      <c r="R7" s="16">
        <f>ROUND(R6/R5,4)</f>
        <v>0.12690000000000001</v>
      </c>
    </row>
    <row r="8" spans="1:18" hidden="1">
      <c r="A8" s="1" t="s">
        <v>13</v>
      </c>
      <c r="B8" s="1" t="s">
        <v>38</v>
      </c>
      <c r="C8" s="1" t="s">
        <v>37</v>
      </c>
      <c r="D8" s="1" t="s">
        <v>8</v>
      </c>
      <c r="E8" s="1">
        <v>242</v>
      </c>
      <c r="F8" s="1">
        <v>62</v>
      </c>
      <c r="G8" s="1" t="s">
        <v>4</v>
      </c>
      <c r="H8" s="1"/>
      <c r="I8" s="1">
        <f t="shared" si="0"/>
        <v>304</v>
      </c>
      <c r="J8" s="1">
        <f>I8</f>
        <v>304</v>
      </c>
      <c r="K8" s="1">
        <v>365</v>
      </c>
      <c r="L8" s="1">
        <f>(K8-J8)</f>
        <v>61</v>
      </c>
      <c r="M8" s="5">
        <f>ROUND(L8/J8,4)</f>
        <v>0.20069999999999999</v>
      </c>
      <c r="N8" s="1" t="s">
        <v>26</v>
      </c>
      <c r="O8" s="1"/>
      <c r="Q8" s="14" t="s">
        <v>428</v>
      </c>
      <c r="R8" s="17">
        <f>R3-R4</f>
        <v>53055</v>
      </c>
    </row>
    <row r="9" spans="1:18" hidden="1">
      <c r="A9" s="1" t="s">
        <v>13</v>
      </c>
      <c r="B9" s="1" t="s">
        <v>40</v>
      </c>
      <c r="C9" s="1" t="s">
        <v>39</v>
      </c>
      <c r="D9" s="1" t="s">
        <v>29</v>
      </c>
      <c r="E9" s="1">
        <v>855</v>
      </c>
      <c r="F9" s="1">
        <v>27</v>
      </c>
      <c r="G9" s="1" t="s">
        <v>4</v>
      </c>
      <c r="H9" s="1">
        <v>19</v>
      </c>
      <c r="I9" s="1">
        <f t="shared" si="0"/>
        <v>901</v>
      </c>
      <c r="J9" s="1">
        <f>I9</f>
        <v>901</v>
      </c>
      <c r="K9" s="1">
        <v>1100</v>
      </c>
      <c r="L9" s="1">
        <f>(K9-J9)</f>
        <v>199</v>
      </c>
      <c r="M9" s="5">
        <f>ROUND(L9/J9,4)</f>
        <v>0.22090000000000001</v>
      </c>
      <c r="N9" s="1"/>
      <c r="O9" s="1"/>
    </row>
    <row r="10" spans="1:18">
      <c r="A10" s="1" t="s">
        <v>13</v>
      </c>
      <c r="B10" s="1" t="s">
        <v>92</v>
      </c>
      <c r="C10" s="1" t="s">
        <v>41</v>
      </c>
      <c r="D10" s="1" t="s">
        <v>29</v>
      </c>
      <c r="E10" s="1">
        <v>271</v>
      </c>
      <c r="F10" s="1">
        <v>27</v>
      </c>
      <c r="G10" s="1" t="s">
        <v>5</v>
      </c>
      <c r="H10" s="1">
        <v>19</v>
      </c>
      <c r="I10" s="1">
        <f t="shared" si="0"/>
        <v>317</v>
      </c>
      <c r="J10" s="1"/>
      <c r="K10" s="1"/>
      <c r="L10" s="1"/>
      <c r="M10" s="5"/>
      <c r="N10" s="1"/>
      <c r="O10" s="1"/>
    </row>
    <row r="11" spans="1:18">
      <c r="A11" s="1" t="s">
        <v>14</v>
      </c>
      <c r="B11" s="1" t="s">
        <v>38</v>
      </c>
      <c r="C11" s="1" t="s">
        <v>42</v>
      </c>
      <c r="D11" s="1" t="s">
        <v>8</v>
      </c>
      <c r="E11" s="1">
        <v>133</v>
      </c>
      <c r="F11" s="1">
        <v>15</v>
      </c>
      <c r="G11" s="1" t="s">
        <v>5</v>
      </c>
      <c r="H11" s="1">
        <v>19</v>
      </c>
      <c r="I11" s="1">
        <f t="shared" si="0"/>
        <v>167</v>
      </c>
      <c r="J11" s="1"/>
      <c r="K11" s="1"/>
      <c r="L11" s="1"/>
      <c r="M11" s="5"/>
      <c r="N11" s="1"/>
      <c r="O11" s="1"/>
    </row>
    <row r="12" spans="1:18">
      <c r="A12" s="1" t="s">
        <v>14</v>
      </c>
      <c r="B12" s="1" t="s">
        <v>38</v>
      </c>
      <c r="C12" s="1" t="s">
        <v>43</v>
      </c>
      <c r="D12" s="1" t="s">
        <v>8</v>
      </c>
      <c r="E12" s="1">
        <v>178</v>
      </c>
      <c r="F12" s="1">
        <v>12</v>
      </c>
      <c r="G12" s="1" t="s">
        <v>5</v>
      </c>
      <c r="H12" s="1">
        <v>19</v>
      </c>
      <c r="I12" s="1">
        <f t="shared" si="0"/>
        <v>209</v>
      </c>
      <c r="J12" s="1"/>
      <c r="K12" s="1"/>
      <c r="L12" s="1"/>
      <c r="M12" s="5"/>
      <c r="N12" s="1"/>
      <c r="O12" s="1"/>
    </row>
    <row r="13" spans="1:18">
      <c r="A13" s="1" t="s">
        <v>13</v>
      </c>
      <c r="B13" s="1" t="s">
        <v>38</v>
      </c>
      <c r="C13" s="1" t="s">
        <v>282</v>
      </c>
      <c r="D13" s="1" t="s">
        <v>8</v>
      </c>
      <c r="E13" s="1">
        <v>1125</v>
      </c>
      <c r="F13" s="1">
        <v>99</v>
      </c>
      <c r="G13" s="1" t="s">
        <v>5</v>
      </c>
      <c r="H13" s="1">
        <v>70</v>
      </c>
      <c r="I13" s="1">
        <f t="shared" si="0"/>
        <v>1294</v>
      </c>
      <c r="J13" s="1"/>
      <c r="K13" s="1"/>
      <c r="L13" s="1"/>
      <c r="M13" s="5"/>
      <c r="N13" s="1" t="s">
        <v>26</v>
      </c>
      <c r="O13" s="1"/>
    </row>
    <row r="14" spans="1:18" hidden="1">
      <c r="A14" s="1" t="s">
        <v>13</v>
      </c>
      <c r="B14" s="1" t="s">
        <v>40</v>
      </c>
      <c r="C14" s="1" t="s">
        <v>39</v>
      </c>
      <c r="D14" s="1" t="s">
        <v>8</v>
      </c>
      <c r="E14" s="1">
        <v>1075</v>
      </c>
      <c r="F14" s="1">
        <v>50</v>
      </c>
      <c r="G14" s="1" t="s">
        <v>4</v>
      </c>
      <c r="H14" s="1">
        <v>19</v>
      </c>
      <c r="I14" s="1">
        <f t="shared" si="0"/>
        <v>1144</v>
      </c>
      <c r="J14" s="1">
        <f>I14</f>
        <v>1144</v>
      </c>
      <c r="K14" s="1">
        <v>1160</v>
      </c>
      <c r="L14" s="1">
        <f>(K14-J14)</f>
        <v>16</v>
      </c>
      <c r="M14" s="5">
        <f>ROUND(L14/J14,4)</f>
        <v>1.4E-2</v>
      </c>
      <c r="N14" s="1"/>
      <c r="O14" s="1"/>
    </row>
    <row r="15" spans="1:18" hidden="1">
      <c r="A15" s="1" t="s">
        <v>13</v>
      </c>
      <c r="B15" s="1" t="s">
        <v>38</v>
      </c>
      <c r="C15" s="1" t="s">
        <v>44</v>
      </c>
      <c r="D15" s="1" t="s">
        <v>29</v>
      </c>
      <c r="E15" s="1">
        <v>401</v>
      </c>
      <c r="F15" s="1">
        <v>82</v>
      </c>
      <c r="G15" s="1" t="s">
        <v>4</v>
      </c>
      <c r="H15" s="1">
        <v>19</v>
      </c>
      <c r="I15" s="1">
        <f t="shared" si="0"/>
        <v>502</v>
      </c>
      <c r="J15" s="1">
        <f>I15</f>
        <v>502</v>
      </c>
      <c r="K15" s="1">
        <v>679</v>
      </c>
      <c r="L15" s="1">
        <f>(K15-J15)</f>
        <v>177</v>
      </c>
      <c r="M15" s="5">
        <f>ROUND(L15/J15,4)</f>
        <v>0.35260000000000002</v>
      </c>
      <c r="N15" s="1" t="s">
        <v>23</v>
      </c>
      <c r="O15" s="1"/>
    </row>
    <row r="16" spans="1:18" hidden="1">
      <c r="A16" s="1" t="s">
        <v>15</v>
      </c>
      <c r="B16" s="1" t="s">
        <v>38</v>
      </c>
      <c r="C16" s="1" t="s">
        <v>45</v>
      </c>
      <c r="D16" s="1" t="s">
        <v>8</v>
      </c>
      <c r="E16" s="1">
        <v>262</v>
      </c>
      <c r="F16" s="1">
        <v>17</v>
      </c>
      <c r="G16" s="1" t="s">
        <v>4</v>
      </c>
      <c r="H16" s="1">
        <v>19</v>
      </c>
      <c r="I16" s="1">
        <f t="shared" si="0"/>
        <v>298</v>
      </c>
      <c r="J16" s="1">
        <v>298</v>
      </c>
      <c r="K16" s="1">
        <v>298</v>
      </c>
      <c r="L16" s="1">
        <f>(K16-J16)</f>
        <v>0</v>
      </c>
      <c r="M16" s="5">
        <f>ROUND(L16/J16,4)</f>
        <v>0</v>
      </c>
      <c r="N16" s="1"/>
      <c r="O16" s="1"/>
    </row>
    <row r="17" spans="1:16">
      <c r="A17" s="1" t="s">
        <v>15</v>
      </c>
      <c r="B17" s="1" t="s">
        <v>38</v>
      </c>
      <c r="C17" s="1" t="s">
        <v>45</v>
      </c>
      <c r="D17" s="1" t="s">
        <v>8</v>
      </c>
      <c r="E17" s="1">
        <v>265</v>
      </c>
      <c r="F17" s="1">
        <v>18</v>
      </c>
      <c r="G17" s="1" t="s">
        <v>5</v>
      </c>
      <c r="H17" s="1">
        <v>19</v>
      </c>
      <c r="I17" s="1">
        <f t="shared" si="0"/>
        <v>302</v>
      </c>
      <c r="J17" s="1"/>
      <c r="K17" s="1"/>
      <c r="L17" s="1"/>
      <c r="M17" s="5"/>
      <c r="N17" s="1"/>
      <c r="O17" s="1"/>
    </row>
    <row r="18" spans="1:16">
      <c r="A18" s="1" t="s">
        <v>13</v>
      </c>
      <c r="B18" s="1" t="s">
        <v>95</v>
      </c>
      <c r="C18" s="1" t="s">
        <v>46</v>
      </c>
      <c r="D18" s="1" t="s">
        <v>8</v>
      </c>
      <c r="E18" s="1">
        <v>248</v>
      </c>
      <c r="F18" s="1">
        <v>18</v>
      </c>
      <c r="G18" s="1" t="s">
        <v>5</v>
      </c>
      <c r="H18" s="1">
        <v>46</v>
      </c>
      <c r="I18" s="1">
        <f>(E18+F18+H18)</f>
        <v>312</v>
      </c>
      <c r="J18" s="1"/>
      <c r="K18" s="1"/>
      <c r="L18" s="1"/>
      <c r="M18" s="5"/>
      <c r="N18" s="1"/>
      <c r="O18" s="1"/>
    </row>
    <row r="19" spans="1:16" hidden="1">
      <c r="A19" s="1" t="s">
        <v>13</v>
      </c>
      <c r="B19" s="1" t="s">
        <v>38</v>
      </c>
      <c r="C19" s="1" t="s">
        <v>47</v>
      </c>
      <c r="D19" s="1" t="s">
        <v>8</v>
      </c>
      <c r="E19" s="1">
        <v>287</v>
      </c>
      <c r="F19" s="1">
        <v>41</v>
      </c>
      <c r="G19" s="1" t="s">
        <v>116</v>
      </c>
      <c r="H19" s="1">
        <v>46</v>
      </c>
      <c r="I19" s="1">
        <f>(E19+F19+H19)</f>
        <v>374</v>
      </c>
      <c r="J19" s="1">
        <f>I19</f>
        <v>374</v>
      </c>
      <c r="K19" s="1">
        <v>440</v>
      </c>
      <c r="L19" s="1">
        <f>(K19-J19)</f>
        <v>66</v>
      </c>
      <c r="M19" s="5">
        <f>ROUND(L19/J19,4)</f>
        <v>0.17649999999999999</v>
      </c>
      <c r="N19" s="1"/>
      <c r="O19" s="1"/>
    </row>
    <row r="20" spans="1:16" hidden="1">
      <c r="A20" s="1" t="s">
        <v>13</v>
      </c>
      <c r="B20" s="1" t="s">
        <v>96</v>
      </c>
      <c r="C20" s="1" t="s">
        <v>48</v>
      </c>
      <c r="D20" s="1" t="s">
        <v>8</v>
      </c>
      <c r="E20" s="1">
        <v>1736</v>
      </c>
      <c r="F20" s="1">
        <v>62</v>
      </c>
      <c r="G20" s="1" t="s">
        <v>4</v>
      </c>
      <c r="H20" s="1">
        <v>47</v>
      </c>
      <c r="I20" s="1">
        <f>(E20+F20+H20)</f>
        <v>1845</v>
      </c>
      <c r="J20" s="1">
        <v>1845</v>
      </c>
      <c r="K20" s="1">
        <v>2300</v>
      </c>
      <c r="L20" s="1">
        <f>(K20-J20)</f>
        <v>455</v>
      </c>
      <c r="M20" s="5">
        <f>ROUND(L20/J20,4)</f>
        <v>0.24660000000000001</v>
      </c>
      <c r="N20" s="1" t="s">
        <v>24</v>
      </c>
      <c r="O20" s="1"/>
      <c r="P20" s="1"/>
    </row>
    <row r="21" spans="1:16">
      <c r="A21" s="1" t="s">
        <v>13</v>
      </c>
      <c r="B21" s="1" t="s">
        <v>38</v>
      </c>
      <c r="C21" s="1" t="s">
        <v>302</v>
      </c>
      <c r="D21" s="1" t="s">
        <v>8</v>
      </c>
      <c r="E21" s="1">
        <v>401</v>
      </c>
      <c r="F21" s="1">
        <v>54</v>
      </c>
      <c r="G21" s="1" t="s">
        <v>5</v>
      </c>
      <c r="H21" s="1">
        <v>47</v>
      </c>
      <c r="I21" s="1">
        <f>(E21+F21+H21)</f>
        <v>502</v>
      </c>
      <c r="J21" s="1"/>
      <c r="K21" s="1"/>
      <c r="L21" s="1"/>
      <c r="M21" s="5"/>
      <c r="N21" s="1"/>
      <c r="O21" s="1"/>
      <c r="P21" s="1"/>
    </row>
    <row r="22" spans="1:16" hidden="1">
      <c r="A22" s="1" t="s">
        <v>13</v>
      </c>
      <c r="B22" s="1" t="s">
        <v>38</v>
      </c>
      <c r="C22" s="1" t="s">
        <v>302</v>
      </c>
      <c r="D22" s="1" t="s">
        <v>287</v>
      </c>
      <c r="E22" s="1">
        <v>383</v>
      </c>
      <c r="F22" s="1">
        <v>69</v>
      </c>
      <c r="G22" s="1" t="s">
        <v>4</v>
      </c>
      <c r="H22" s="1">
        <v>25</v>
      </c>
      <c r="I22" s="1">
        <f t="shared" si="0"/>
        <v>477</v>
      </c>
      <c r="J22" s="1">
        <f>I22</f>
        <v>477</v>
      </c>
      <c r="K22" s="1">
        <v>540</v>
      </c>
      <c r="L22" s="1">
        <f>(K22-J22)</f>
        <v>63</v>
      </c>
      <c r="M22" s="5">
        <f>ROUND(L22/J22,4)</f>
        <v>0.1321</v>
      </c>
      <c r="N22" s="1"/>
      <c r="O22" s="1"/>
      <c r="P22" s="1"/>
    </row>
    <row r="23" spans="1:16" hidden="1">
      <c r="A23" s="1" t="s">
        <v>13</v>
      </c>
      <c r="B23" s="1" t="s">
        <v>96</v>
      </c>
      <c r="C23" s="1" t="s">
        <v>48</v>
      </c>
      <c r="D23" s="1" t="s">
        <v>29</v>
      </c>
      <c r="E23" s="1">
        <v>1159</v>
      </c>
      <c r="F23" s="1">
        <v>77</v>
      </c>
      <c r="G23" s="1" t="s">
        <v>4</v>
      </c>
      <c r="H23" s="1">
        <v>25</v>
      </c>
      <c r="I23" s="1">
        <f t="shared" si="0"/>
        <v>1261</v>
      </c>
      <c r="J23" s="1">
        <f>I23</f>
        <v>1261</v>
      </c>
      <c r="K23" s="1">
        <v>1560</v>
      </c>
      <c r="L23" s="1">
        <f>(K23-J23)</f>
        <v>299</v>
      </c>
      <c r="M23" s="5">
        <f>ROUND(L23/J23,4)</f>
        <v>0.23710000000000001</v>
      </c>
      <c r="N23" s="1" t="s">
        <v>25</v>
      </c>
      <c r="O23" s="1"/>
      <c r="P23" s="1"/>
    </row>
    <row r="24" spans="1:16" hidden="1">
      <c r="A24" s="1" t="s">
        <v>13</v>
      </c>
      <c r="B24" s="1" t="s">
        <v>38</v>
      </c>
      <c r="C24" s="1" t="s">
        <v>49</v>
      </c>
      <c r="D24" s="1" t="s">
        <v>8</v>
      </c>
      <c r="E24" s="1">
        <v>307</v>
      </c>
      <c r="F24" s="1">
        <v>34</v>
      </c>
      <c r="G24" s="1" t="s">
        <v>4</v>
      </c>
      <c r="H24" s="1">
        <v>25</v>
      </c>
      <c r="I24" s="1">
        <f t="shared" ref="I24:I68" si="1">(E24+F24+H24)</f>
        <v>366</v>
      </c>
      <c r="J24" s="1">
        <f>I24</f>
        <v>366</v>
      </c>
      <c r="K24" s="1">
        <v>392</v>
      </c>
      <c r="L24" s="1">
        <f>(K24-J24)</f>
        <v>26</v>
      </c>
      <c r="M24" s="5">
        <f>ROUND(L24/J24,4)</f>
        <v>7.0999999999999994E-2</v>
      </c>
      <c r="N24" s="1"/>
      <c r="O24" s="1"/>
      <c r="P24" s="1"/>
    </row>
    <row r="25" spans="1:16">
      <c r="A25" s="1" t="s">
        <v>13</v>
      </c>
      <c r="B25" s="1" t="s">
        <v>40</v>
      </c>
      <c r="C25" s="1" t="s">
        <v>39</v>
      </c>
      <c r="D25" s="1" t="s">
        <v>8</v>
      </c>
      <c r="E25" s="1">
        <v>972</v>
      </c>
      <c r="F25" s="1">
        <v>54</v>
      </c>
      <c r="G25" s="1" t="s">
        <v>5</v>
      </c>
      <c r="H25" s="1">
        <v>27</v>
      </c>
      <c r="I25" s="1">
        <f t="shared" si="1"/>
        <v>1053</v>
      </c>
      <c r="J25" s="1"/>
      <c r="K25" s="1"/>
      <c r="L25" s="1"/>
      <c r="M25" s="5"/>
      <c r="N25" s="1"/>
      <c r="O25" s="1"/>
      <c r="P25" s="1"/>
    </row>
    <row r="26" spans="1:16" hidden="1">
      <c r="A26" s="1" t="s">
        <v>13</v>
      </c>
      <c r="B26" s="1" t="s">
        <v>38</v>
      </c>
      <c r="C26" s="1" t="s">
        <v>37</v>
      </c>
      <c r="D26" s="1" t="s">
        <v>8</v>
      </c>
      <c r="E26" s="1">
        <v>245</v>
      </c>
      <c r="F26" s="1">
        <v>29</v>
      </c>
      <c r="G26" s="1" t="s">
        <v>116</v>
      </c>
      <c r="H26" s="1">
        <v>27</v>
      </c>
      <c r="I26" s="1">
        <f t="shared" si="1"/>
        <v>301</v>
      </c>
      <c r="J26" s="1">
        <v>301</v>
      </c>
      <c r="K26" s="1">
        <v>399</v>
      </c>
      <c r="L26" s="1">
        <f t="shared" ref="L26:L31" si="2">(K26-J26)</f>
        <v>98</v>
      </c>
      <c r="M26" s="5">
        <f t="shared" ref="M26:M31" si="3">ROUND(L26/J26,4)</f>
        <v>0.3256</v>
      </c>
      <c r="N26" s="1" t="s">
        <v>26</v>
      </c>
      <c r="O26" s="1"/>
      <c r="P26" s="1"/>
    </row>
    <row r="27" spans="1:16" hidden="1">
      <c r="A27" s="1" t="s">
        <v>13</v>
      </c>
      <c r="B27" s="1" t="s">
        <v>38</v>
      </c>
      <c r="C27" s="1" t="s">
        <v>37</v>
      </c>
      <c r="D27" s="1" t="s">
        <v>8</v>
      </c>
      <c r="E27" s="1">
        <v>253</v>
      </c>
      <c r="F27" s="1">
        <v>30</v>
      </c>
      <c r="G27" s="1" t="s">
        <v>4</v>
      </c>
      <c r="H27" s="1">
        <v>27</v>
      </c>
      <c r="I27" s="1">
        <f t="shared" si="1"/>
        <v>310</v>
      </c>
      <c r="J27" s="1">
        <v>310</v>
      </c>
      <c r="K27" s="1">
        <v>379</v>
      </c>
      <c r="L27" s="1">
        <f t="shared" si="2"/>
        <v>69</v>
      </c>
      <c r="M27" s="5">
        <f t="shared" si="3"/>
        <v>0.22259999999999999</v>
      </c>
      <c r="N27" s="1" t="s">
        <v>26</v>
      </c>
      <c r="O27" s="1"/>
      <c r="P27" s="1"/>
    </row>
    <row r="28" spans="1:16" hidden="1">
      <c r="A28" s="1" t="s">
        <v>13</v>
      </c>
      <c r="B28" s="1" t="s">
        <v>38</v>
      </c>
      <c r="C28" s="1" t="s">
        <v>49</v>
      </c>
      <c r="D28" s="1" t="s">
        <v>8</v>
      </c>
      <c r="E28" s="1">
        <v>234</v>
      </c>
      <c r="F28" s="1">
        <v>37</v>
      </c>
      <c r="G28" s="1" t="s">
        <v>4</v>
      </c>
      <c r="H28" s="1">
        <v>27</v>
      </c>
      <c r="I28" s="1">
        <f t="shared" si="1"/>
        <v>298</v>
      </c>
      <c r="J28" s="1">
        <f>I28</f>
        <v>298</v>
      </c>
      <c r="K28" s="1">
        <v>384</v>
      </c>
      <c r="L28" s="1">
        <f t="shared" si="2"/>
        <v>86</v>
      </c>
      <c r="M28" s="5">
        <f t="shared" si="3"/>
        <v>0.28860000000000002</v>
      </c>
      <c r="N28" s="1"/>
      <c r="O28" s="1"/>
      <c r="P28" s="1"/>
    </row>
    <row r="29" spans="1:16" hidden="1">
      <c r="A29" s="1" t="s">
        <v>13</v>
      </c>
      <c r="B29" s="1" t="s">
        <v>96</v>
      </c>
      <c r="C29" s="1" t="s">
        <v>50</v>
      </c>
      <c r="D29" s="1" t="s">
        <v>8</v>
      </c>
      <c r="E29" s="1">
        <v>3846</v>
      </c>
      <c r="F29" s="1">
        <v>225</v>
      </c>
      <c r="G29" s="1" t="s">
        <v>116</v>
      </c>
      <c r="H29" s="1">
        <v>89</v>
      </c>
      <c r="I29" s="1">
        <f t="shared" si="1"/>
        <v>4160</v>
      </c>
      <c r="J29" s="1">
        <v>4160</v>
      </c>
      <c r="K29" s="1">
        <v>3400</v>
      </c>
      <c r="L29" s="1">
        <f t="shared" si="2"/>
        <v>-760</v>
      </c>
      <c r="M29" s="5">
        <f t="shared" si="3"/>
        <v>-0.1827</v>
      </c>
      <c r="N29" s="1" t="s">
        <v>24</v>
      </c>
      <c r="O29" s="1"/>
      <c r="P29" s="1"/>
    </row>
    <row r="30" spans="1:16" hidden="1">
      <c r="A30" s="1" t="s">
        <v>13</v>
      </c>
      <c r="B30" s="1" t="s">
        <v>38</v>
      </c>
      <c r="C30" s="1" t="s">
        <v>51</v>
      </c>
      <c r="D30" s="1" t="s">
        <v>8</v>
      </c>
      <c r="E30" s="1">
        <v>327</v>
      </c>
      <c r="F30" s="1">
        <v>18</v>
      </c>
      <c r="G30" s="1" t="s">
        <v>116</v>
      </c>
      <c r="H30" s="1"/>
      <c r="I30" s="1">
        <f t="shared" si="1"/>
        <v>345</v>
      </c>
      <c r="J30" s="1">
        <v>345</v>
      </c>
      <c r="K30" s="1">
        <v>429</v>
      </c>
      <c r="L30" s="1">
        <f t="shared" si="2"/>
        <v>84</v>
      </c>
      <c r="M30" s="5">
        <f t="shared" si="3"/>
        <v>0.24349999999999999</v>
      </c>
      <c r="N30" s="1"/>
      <c r="O30" s="1"/>
      <c r="P30" s="1"/>
    </row>
    <row r="31" spans="1:16" hidden="1">
      <c r="A31" s="1" t="s">
        <v>13</v>
      </c>
      <c r="B31" s="1" t="s">
        <v>38</v>
      </c>
      <c r="C31" s="1" t="s">
        <v>51</v>
      </c>
      <c r="D31" s="1" t="s">
        <v>8</v>
      </c>
      <c r="E31" s="1">
        <v>323</v>
      </c>
      <c r="F31" s="1">
        <v>18</v>
      </c>
      <c r="G31" s="1" t="s">
        <v>116</v>
      </c>
      <c r="H31" s="1"/>
      <c r="I31" s="1">
        <f t="shared" si="1"/>
        <v>341</v>
      </c>
      <c r="J31" s="1">
        <v>341</v>
      </c>
      <c r="K31" s="1">
        <v>450</v>
      </c>
      <c r="L31" s="1">
        <f t="shared" si="2"/>
        <v>109</v>
      </c>
      <c r="M31" s="5">
        <f t="shared" si="3"/>
        <v>0.3196</v>
      </c>
      <c r="N31" s="1"/>
      <c r="O31" s="1"/>
      <c r="P31" s="1"/>
    </row>
    <row r="32" spans="1:16">
      <c r="A32" s="1" t="s">
        <v>13</v>
      </c>
      <c r="B32" s="1" t="s">
        <v>38</v>
      </c>
      <c r="C32" s="1" t="s">
        <v>475</v>
      </c>
      <c r="D32" s="1" t="s">
        <v>8</v>
      </c>
      <c r="E32" s="1">
        <v>551</v>
      </c>
      <c r="F32" s="1">
        <v>58</v>
      </c>
      <c r="G32" s="1" t="s">
        <v>5</v>
      </c>
      <c r="H32" s="1"/>
      <c r="I32" s="1">
        <f t="shared" si="1"/>
        <v>609</v>
      </c>
      <c r="J32" s="1"/>
      <c r="K32" s="1"/>
      <c r="L32" s="1"/>
      <c r="M32" s="5"/>
      <c r="N32" s="1"/>
      <c r="P32" s="1"/>
    </row>
    <row r="33" spans="1:16" hidden="1">
      <c r="A33" s="1" t="s">
        <v>13</v>
      </c>
      <c r="B33" s="1" t="s">
        <v>38</v>
      </c>
      <c r="C33" s="1" t="s">
        <v>37</v>
      </c>
      <c r="D33" s="1" t="s">
        <v>8</v>
      </c>
      <c r="E33" s="1">
        <v>278</v>
      </c>
      <c r="F33" s="1">
        <v>29</v>
      </c>
      <c r="G33" s="1" t="s">
        <v>116</v>
      </c>
      <c r="H33" s="1">
        <v>38</v>
      </c>
      <c r="I33" s="1">
        <f t="shared" si="1"/>
        <v>345</v>
      </c>
      <c r="J33" s="1">
        <v>345</v>
      </c>
      <c r="K33" s="1">
        <v>386</v>
      </c>
      <c r="L33" s="1">
        <f t="shared" ref="L33:L39" si="4">(K33-J33)</f>
        <v>41</v>
      </c>
      <c r="M33" s="5">
        <f t="shared" ref="M33:M38" si="5">ROUND(L33/J33,4)</f>
        <v>0.1188</v>
      </c>
      <c r="N33" s="1" t="s">
        <v>26</v>
      </c>
      <c r="O33" s="1"/>
      <c r="P33" s="1"/>
    </row>
    <row r="34" spans="1:16" hidden="1">
      <c r="A34" s="1" t="s">
        <v>13</v>
      </c>
      <c r="B34" s="1" t="s">
        <v>38</v>
      </c>
      <c r="C34" s="1" t="s">
        <v>21</v>
      </c>
      <c r="D34" s="1" t="s">
        <v>8</v>
      </c>
      <c r="E34" s="1">
        <v>747</v>
      </c>
      <c r="F34" s="1">
        <v>38</v>
      </c>
      <c r="G34" s="1" t="s">
        <v>116</v>
      </c>
      <c r="H34" s="1">
        <v>38</v>
      </c>
      <c r="I34" s="1">
        <f t="shared" si="1"/>
        <v>823</v>
      </c>
      <c r="J34" s="1">
        <v>823</v>
      </c>
      <c r="K34" s="1">
        <v>950</v>
      </c>
      <c r="L34" s="1">
        <f t="shared" si="4"/>
        <v>127</v>
      </c>
      <c r="M34" s="5">
        <f t="shared" si="5"/>
        <v>0.15429999999999999</v>
      </c>
      <c r="N34" s="1" t="s">
        <v>344</v>
      </c>
      <c r="O34" s="1"/>
      <c r="P34" s="1"/>
    </row>
    <row r="35" spans="1:16" hidden="1">
      <c r="A35" s="1" t="s">
        <v>13</v>
      </c>
      <c r="B35" s="1" t="s">
        <v>38</v>
      </c>
      <c r="C35" s="1" t="s">
        <v>49</v>
      </c>
      <c r="D35" s="1" t="s">
        <v>8</v>
      </c>
      <c r="E35" s="1">
        <v>278</v>
      </c>
      <c r="F35" s="1">
        <v>34</v>
      </c>
      <c r="G35" s="1" t="s">
        <v>116</v>
      </c>
      <c r="H35" s="1">
        <v>38</v>
      </c>
      <c r="I35" s="1">
        <f t="shared" si="1"/>
        <v>350</v>
      </c>
      <c r="J35" s="1">
        <f>I35</f>
        <v>350</v>
      </c>
      <c r="K35" s="1">
        <v>386</v>
      </c>
      <c r="L35" s="1">
        <f t="shared" si="4"/>
        <v>36</v>
      </c>
      <c r="M35" s="5">
        <f t="shared" si="5"/>
        <v>0.10290000000000001</v>
      </c>
      <c r="N35" s="1"/>
      <c r="O35" s="1"/>
      <c r="P35" s="1"/>
    </row>
    <row r="36" spans="1:16" hidden="1">
      <c r="A36" s="1" t="s">
        <v>13</v>
      </c>
      <c r="B36" s="1" t="s">
        <v>96</v>
      </c>
      <c r="C36" s="1" t="s">
        <v>48</v>
      </c>
      <c r="D36" s="1" t="s">
        <v>8</v>
      </c>
      <c r="E36" s="1">
        <v>1765</v>
      </c>
      <c r="F36" s="1">
        <v>74</v>
      </c>
      <c r="G36" s="1" t="s">
        <v>116</v>
      </c>
      <c r="H36" s="1">
        <v>39</v>
      </c>
      <c r="I36" s="1">
        <f t="shared" si="1"/>
        <v>1878</v>
      </c>
      <c r="J36" s="1">
        <v>1878</v>
      </c>
      <c r="K36" s="1">
        <v>2100</v>
      </c>
      <c r="L36" s="1">
        <f t="shared" si="4"/>
        <v>222</v>
      </c>
      <c r="M36" s="5">
        <f t="shared" si="5"/>
        <v>0.1182</v>
      </c>
      <c r="N36" s="1" t="s">
        <v>24</v>
      </c>
      <c r="O36" s="1"/>
      <c r="P36" s="1"/>
    </row>
    <row r="37" spans="1:16" hidden="1">
      <c r="A37" s="1" t="s">
        <v>13</v>
      </c>
      <c r="B37" s="1" t="s">
        <v>38</v>
      </c>
      <c r="C37" s="1" t="s">
        <v>37</v>
      </c>
      <c r="D37" s="1" t="s">
        <v>8</v>
      </c>
      <c r="E37" s="1">
        <v>249</v>
      </c>
      <c r="F37" s="1">
        <v>32</v>
      </c>
      <c r="G37" s="1" t="s">
        <v>116</v>
      </c>
      <c r="H37" s="1">
        <v>36</v>
      </c>
      <c r="I37" s="1">
        <f t="shared" si="1"/>
        <v>317</v>
      </c>
      <c r="J37" s="1">
        <v>317</v>
      </c>
      <c r="K37" s="1">
        <v>399</v>
      </c>
      <c r="L37" s="1">
        <f t="shared" si="4"/>
        <v>82</v>
      </c>
      <c r="M37" s="5">
        <f t="shared" si="5"/>
        <v>0.25869999999999999</v>
      </c>
      <c r="N37" s="1" t="s">
        <v>26</v>
      </c>
      <c r="O37" s="1"/>
      <c r="P37" s="1"/>
    </row>
    <row r="38" spans="1:16" hidden="1">
      <c r="A38" s="1" t="s">
        <v>13</v>
      </c>
      <c r="B38" s="1" t="s">
        <v>38</v>
      </c>
      <c r="C38" s="1" t="s">
        <v>37</v>
      </c>
      <c r="D38" s="1" t="s">
        <v>8</v>
      </c>
      <c r="E38" s="1">
        <v>246</v>
      </c>
      <c r="F38" s="1">
        <v>33</v>
      </c>
      <c r="G38" s="1" t="s">
        <v>116</v>
      </c>
      <c r="H38" s="1">
        <v>36</v>
      </c>
      <c r="I38" s="1">
        <f t="shared" si="1"/>
        <v>315</v>
      </c>
      <c r="J38" s="1">
        <v>315</v>
      </c>
      <c r="K38" s="1">
        <v>395</v>
      </c>
      <c r="L38" s="1">
        <f t="shared" si="4"/>
        <v>80</v>
      </c>
      <c r="M38" s="5">
        <f t="shared" si="5"/>
        <v>0.254</v>
      </c>
      <c r="N38" s="1" t="s">
        <v>26</v>
      </c>
      <c r="O38" s="1"/>
      <c r="P38" s="1"/>
    </row>
    <row r="39" spans="1:16" hidden="1">
      <c r="A39" s="1" t="s">
        <v>13</v>
      </c>
      <c r="B39" s="1" t="s">
        <v>96</v>
      </c>
      <c r="C39" s="1" t="s">
        <v>48</v>
      </c>
      <c r="D39" s="1" t="s">
        <v>8</v>
      </c>
      <c r="E39" s="1">
        <v>1696</v>
      </c>
      <c r="F39" s="1">
        <v>81</v>
      </c>
      <c r="G39" s="1" t="s">
        <v>116</v>
      </c>
      <c r="H39" s="1">
        <v>37</v>
      </c>
      <c r="I39" s="1">
        <f t="shared" si="1"/>
        <v>1814</v>
      </c>
      <c r="J39" s="1">
        <v>1814</v>
      </c>
      <c r="K39" s="1">
        <v>2129</v>
      </c>
      <c r="L39" s="1">
        <f t="shared" si="4"/>
        <v>315</v>
      </c>
      <c r="M39" s="5">
        <f>ROUND(L39/J39,4)</f>
        <v>0.1736</v>
      </c>
      <c r="N39" s="1" t="s">
        <v>24</v>
      </c>
      <c r="O39" s="1"/>
      <c r="P39" s="1"/>
    </row>
    <row r="40" spans="1:16">
      <c r="A40" s="1" t="s">
        <v>19</v>
      </c>
      <c r="B40" s="1" t="s">
        <v>415</v>
      </c>
      <c r="C40" s="1" t="s">
        <v>20</v>
      </c>
      <c r="D40" s="1" t="s">
        <v>8</v>
      </c>
      <c r="E40" s="1">
        <v>724</v>
      </c>
      <c r="F40" s="1">
        <v>19</v>
      </c>
      <c r="G40" s="1" t="s">
        <v>5</v>
      </c>
      <c r="H40" s="1">
        <v>37</v>
      </c>
      <c r="I40" s="1">
        <f t="shared" si="1"/>
        <v>780</v>
      </c>
      <c r="J40" s="1"/>
      <c r="K40" s="1"/>
      <c r="L40" s="1"/>
      <c r="M40" s="5"/>
      <c r="N40" s="1"/>
      <c r="O40" s="1"/>
      <c r="P40" s="1"/>
    </row>
    <row r="41" spans="1:16" hidden="1">
      <c r="A41" s="1" t="s">
        <v>13</v>
      </c>
      <c r="B41" s="1" t="s">
        <v>96</v>
      </c>
      <c r="C41" s="1" t="s">
        <v>50</v>
      </c>
      <c r="D41" s="1" t="s">
        <v>8</v>
      </c>
      <c r="E41" s="1">
        <v>3898</v>
      </c>
      <c r="F41" s="1">
        <v>136</v>
      </c>
      <c r="G41" s="1" t="s">
        <v>116</v>
      </c>
      <c r="H41" s="1">
        <v>90</v>
      </c>
      <c r="I41" s="1">
        <f t="shared" si="1"/>
        <v>4124</v>
      </c>
      <c r="J41" s="1">
        <v>4124</v>
      </c>
      <c r="K41" s="1">
        <v>3300</v>
      </c>
      <c r="L41" s="1">
        <f>(K41-J41)</f>
        <v>-824</v>
      </c>
      <c r="M41" s="5">
        <f>ROUND(L41/J41,4)</f>
        <v>-0.19980000000000001</v>
      </c>
      <c r="N41" s="1" t="s">
        <v>24</v>
      </c>
      <c r="O41" s="1"/>
      <c r="P41" s="1" t="s">
        <v>351</v>
      </c>
    </row>
    <row r="42" spans="1:16" hidden="1">
      <c r="A42" s="1" t="s">
        <v>13</v>
      </c>
      <c r="B42" s="1" t="s">
        <v>38</v>
      </c>
      <c r="C42" s="1" t="s">
        <v>303</v>
      </c>
      <c r="D42" s="1" t="s">
        <v>9</v>
      </c>
      <c r="E42" s="1">
        <v>637</v>
      </c>
      <c r="F42" s="1">
        <v>23</v>
      </c>
      <c r="G42" s="1" t="s">
        <v>116</v>
      </c>
      <c r="H42" s="1">
        <v>40</v>
      </c>
      <c r="I42" s="1">
        <f t="shared" si="1"/>
        <v>700</v>
      </c>
      <c r="J42" s="1">
        <v>700</v>
      </c>
      <c r="K42" s="1">
        <v>750</v>
      </c>
      <c r="L42" s="1">
        <f>(K42-J42)</f>
        <v>50</v>
      </c>
      <c r="M42" s="5">
        <f>ROUND(L42/J42,4)</f>
        <v>7.1400000000000005E-2</v>
      </c>
      <c r="N42" s="1"/>
      <c r="O42" s="1"/>
      <c r="P42" s="1"/>
    </row>
    <row r="43" spans="1:16" hidden="1">
      <c r="A43" s="1" t="s">
        <v>13</v>
      </c>
      <c r="B43" s="1" t="s">
        <v>38</v>
      </c>
      <c r="C43" s="1" t="s">
        <v>341</v>
      </c>
      <c r="D43" s="1" t="s">
        <v>9</v>
      </c>
      <c r="E43" s="1">
        <v>110</v>
      </c>
      <c r="F43" s="1">
        <v>25</v>
      </c>
      <c r="G43" s="1" t="s">
        <v>116</v>
      </c>
      <c r="H43" s="1"/>
      <c r="I43" s="1">
        <f t="shared" si="1"/>
        <v>135</v>
      </c>
      <c r="J43" s="1">
        <f>I43</f>
        <v>135</v>
      </c>
      <c r="K43" s="1">
        <v>190</v>
      </c>
      <c r="L43" s="1">
        <f>(K43-J43)</f>
        <v>55</v>
      </c>
      <c r="M43" s="5">
        <f>ROUND(L43/J43,4)</f>
        <v>0.40739999999999998</v>
      </c>
      <c r="N43" s="1" t="s">
        <v>390</v>
      </c>
      <c r="O43" s="1"/>
      <c r="P43" s="1"/>
    </row>
    <row r="44" spans="1:16" hidden="1">
      <c r="A44" s="1" t="s">
        <v>13</v>
      </c>
      <c r="B44" s="1" t="s">
        <v>96</v>
      </c>
      <c r="C44" s="1" t="s">
        <v>54</v>
      </c>
      <c r="D44" s="1" t="s">
        <v>8</v>
      </c>
      <c r="E44" s="1">
        <v>1103</v>
      </c>
      <c r="F44" s="1">
        <v>63</v>
      </c>
      <c r="G44" s="1" t="s">
        <v>116</v>
      </c>
      <c r="H44" s="1">
        <v>41</v>
      </c>
      <c r="I44" s="1">
        <f t="shared" si="1"/>
        <v>1207</v>
      </c>
      <c r="J44" s="1">
        <f>I44</f>
        <v>1207</v>
      </c>
      <c r="K44" s="1">
        <v>1700</v>
      </c>
      <c r="L44" s="1">
        <f>(K44-J44)</f>
        <v>493</v>
      </c>
      <c r="M44" s="5">
        <f>ROUND(L44/J44,4)</f>
        <v>0.40849999999999997</v>
      </c>
      <c r="N44" s="1" t="s">
        <v>24</v>
      </c>
      <c r="O44" s="1"/>
      <c r="P44" s="1"/>
    </row>
    <row r="45" spans="1:16" hidden="1">
      <c r="A45" s="1" t="s">
        <v>13</v>
      </c>
      <c r="B45" s="1" t="s">
        <v>38</v>
      </c>
      <c r="C45" s="1" t="s">
        <v>49</v>
      </c>
      <c r="D45" s="1" t="s">
        <v>8</v>
      </c>
      <c r="E45" s="1">
        <v>276</v>
      </c>
      <c r="F45" s="1">
        <v>17</v>
      </c>
      <c r="G45" s="1" t="s">
        <v>116</v>
      </c>
      <c r="H45" s="1">
        <v>41</v>
      </c>
      <c r="I45" s="1">
        <f t="shared" si="1"/>
        <v>334</v>
      </c>
      <c r="J45" s="1">
        <f>I45</f>
        <v>334</v>
      </c>
      <c r="K45" s="1">
        <v>409</v>
      </c>
      <c r="L45" s="1">
        <f>(K45-J45)</f>
        <v>75</v>
      </c>
      <c r="M45" s="5">
        <f>ROUND(L45/J45,4)</f>
        <v>0.22459999999999999</v>
      </c>
      <c r="N45" s="1"/>
      <c r="O45" s="1"/>
      <c r="P45" s="1"/>
    </row>
    <row r="46" spans="1:16">
      <c r="A46" s="1" t="s">
        <v>13</v>
      </c>
      <c r="B46" s="1" t="s">
        <v>53</v>
      </c>
      <c r="C46" s="1" t="s">
        <v>52</v>
      </c>
      <c r="D46" s="1" t="s">
        <v>8</v>
      </c>
      <c r="E46" s="1">
        <v>306</v>
      </c>
      <c r="F46" s="1">
        <v>18</v>
      </c>
      <c r="G46" s="1" t="s">
        <v>5</v>
      </c>
      <c r="H46" s="1">
        <v>28</v>
      </c>
      <c r="I46" s="1">
        <f t="shared" si="1"/>
        <v>352</v>
      </c>
      <c r="J46" s="1"/>
      <c r="K46" s="1"/>
      <c r="L46" s="1"/>
      <c r="M46" s="5"/>
      <c r="N46" s="1"/>
      <c r="O46" s="1"/>
      <c r="P46" s="1" t="s">
        <v>352</v>
      </c>
    </row>
    <row r="47" spans="1:16">
      <c r="A47" s="1" t="s">
        <v>13</v>
      </c>
      <c r="B47" s="1" t="s">
        <v>53</v>
      </c>
      <c r="C47" s="1" t="s">
        <v>169</v>
      </c>
      <c r="D47" s="1" t="s">
        <v>9</v>
      </c>
      <c r="E47" s="1">
        <v>328</v>
      </c>
      <c r="F47" s="1">
        <v>21</v>
      </c>
      <c r="G47" s="1" t="s">
        <v>319</v>
      </c>
      <c r="H47" s="1">
        <v>29</v>
      </c>
      <c r="I47" s="1">
        <f t="shared" si="1"/>
        <v>378</v>
      </c>
      <c r="J47" s="1"/>
      <c r="K47" s="1"/>
      <c r="L47" s="1"/>
      <c r="M47" s="5"/>
      <c r="N47" s="1" t="s">
        <v>763</v>
      </c>
      <c r="O47" s="1" t="s">
        <v>506</v>
      </c>
      <c r="P47" s="1" t="s">
        <v>352</v>
      </c>
    </row>
    <row r="48" spans="1:16" hidden="1">
      <c r="A48" s="1" t="s">
        <v>13</v>
      </c>
      <c r="B48" s="1" t="s">
        <v>38</v>
      </c>
      <c r="C48" s="1" t="s">
        <v>37</v>
      </c>
      <c r="D48" s="1" t="s">
        <v>8</v>
      </c>
      <c r="E48" s="1">
        <v>257</v>
      </c>
      <c r="F48" s="1">
        <v>23</v>
      </c>
      <c r="G48" s="1" t="s">
        <v>116</v>
      </c>
      <c r="H48" s="1">
        <v>29</v>
      </c>
      <c r="I48" s="1">
        <f t="shared" si="1"/>
        <v>309</v>
      </c>
      <c r="J48" s="1">
        <v>309</v>
      </c>
      <c r="K48" s="1">
        <v>399</v>
      </c>
      <c r="L48" s="1">
        <f>(K48-J48)</f>
        <v>90</v>
      </c>
      <c r="M48" s="5">
        <f>ROUND(L48/J48,4)</f>
        <v>0.2913</v>
      </c>
      <c r="N48" s="1" t="s">
        <v>26</v>
      </c>
      <c r="O48" s="1"/>
      <c r="P48" s="1" t="s">
        <v>352</v>
      </c>
    </row>
    <row r="49" spans="1:16" hidden="1">
      <c r="A49" s="1" t="s">
        <v>13</v>
      </c>
      <c r="B49" s="1" t="s">
        <v>96</v>
      </c>
      <c r="C49" s="1" t="s">
        <v>48</v>
      </c>
      <c r="D49" s="1" t="s">
        <v>9</v>
      </c>
      <c r="E49" s="1">
        <v>1641</v>
      </c>
      <c r="F49" s="1">
        <v>46</v>
      </c>
      <c r="G49" s="1" t="s">
        <v>116</v>
      </c>
      <c r="H49" s="1">
        <v>29</v>
      </c>
      <c r="I49" s="1">
        <f t="shared" si="1"/>
        <v>1716</v>
      </c>
      <c r="J49" s="1">
        <v>1716</v>
      </c>
      <c r="K49" s="1">
        <v>1620</v>
      </c>
      <c r="L49" s="1">
        <f>(K49-J49)</f>
        <v>-96</v>
      </c>
      <c r="M49" s="5">
        <f>ROUND(L49/J49,4)</f>
        <v>-5.5899999999999998E-2</v>
      </c>
      <c r="N49" s="1" t="s">
        <v>24</v>
      </c>
      <c r="O49" s="1"/>
      <c r="P49" s="1" t="s">
        <v>352</v>
      </c>
    </row>
    <row r="50" spans="1:16">
      <c r="A50" s="1" t="s">
        <v>13</v>
      </c>
      <c r="B50" s="1" t="s">
        <v>38</v>
      </c>
      <c r="C50" s="1" t="s">
        <v>292</v>
      </c>
      <c r="D50" s="1" t="s">
        <v>8</v>
      </c>
      <c r="E50" s="1">
        <v>108</v>
      </c>
      <c r="F50" s="1">
        <v>5</v>
      </c>
      <c r="G50" s="1" t="s">
        <v>5</v>
      </c>
      <c r="H50" s="1">
        <v>28</v>
      </c>
      <c r="I50" s="1">
        <f t="shared" si="1"/>
        <v>141</v>
      </c>
      <c r="J50" s="1"/>
      <c r="K50" s="1"/>
      <c r="L50" s="1"/>
      <c r="M50" s="5"/>
      <c r="N50" s="1" t="s">
        <v>288</v>
      </c>
      <c r="O50" s="1"/>
      <c r="P50" s="1" t="s">
        <v>352</v>
      </c>
    </row>
    <row r="51" spans="1:16" hidden="1">
      <c r="A51" s="1" t="s">
        <v>13</v>
      </c>
      <c r="B51" s="1" t="s">
        <v>96</v>
      </c>
      <c r="C51" s="1" t="s">
        <v>55</v>
      </c>
      <c r="D51" s="1" t="s">
        <v>8</v>
      </c>
      <c r="E51" s="1">
        <v>2033</v>
      </c>
      <c r="F51" s="1">
        <v>50</v>
      </c>
      <c r="G51" s="1" t="s">
        <v>116</v>
      </c>
      <c r="H51" s="1">
        <v>37</v>
      </c>
      <c r="I51" s="1">
        <f t="shared" si="1"/>
        <v>2120</v>
      </c>
      <c r="J51" s="1">
        <v>2120</v>
      </c>
      <c r="K51" s="1">
        <v>2088</v>
      </c>
      <c r="L51" s="1">
        <f>(K51-J51)</f>
        <v>-32</v>
      </c>
      <c r="M51" s="5">
        <f>ROUND(L51/J51,4)</f>
        <v>-1.5100000000000001E-2</v>
      </c>
      <c r="N51" s="1" t="s">
        <v>24</v>
      </c>
      <c r="O51" s="1"/>
      <c r="P51" s="1"/>
    </row>
    <row r="52" spans="1:16" hidden="1">
      <c r="A52" s="1" t="s">
        <v>13</v>
      </c>
      <c r="B52" s="1" t="s">
        <v>38</v>
      </c>
      <c r="C52" s="1" t="s">
        <v>56</v>
      </c>
      <c r="D52" s="1" t="s">
        <v>8</v>
      </c>
      <c r="E52" s="1">
        <v>456</v>
      </c>
      <c r="F52" s="1">
        <v>53</v>
      </c>
      <c r="G52" s="1" t="s">
        <v>4</v>
      </c>
      <c r="H52" s="1">
        <v>37</v>
      </c>
      <c r="I52" s="1">
        <f t="shared" si="1"/>
        <v>546</v>
      </c>
      <c r="J52" s="1">
        <v>546</v>
      </c>
      <c r="K52" s="1">
        <v>655</v>
      </c>
      <c r="L52" s="1">
        <f>(K52-J52)</f>
        <v>109</v>
      </c>
      <c r="M52" s="5">
        <f>ROUND(L52/J52,4)</f>
        <v>0.1996</v>
      </c>
      <c r="N52" s="1" t="s">
        <v>334</v>
      </c>
      <c r="O52" s="1"/>
      <c r="P52" s="1"/>
    </row>
    <row r="53" spans="1:16" hidden="1">
      <c r="A53" s="1" t="s">
        <v>13</v>
      </c>
      <c r="B53" s="1" t="s">
        <v>38</v>
      </c>
      <c r="C53" s="1" t="s">
        <v>49</v>
      </c>
      <c r="D53" s="1" t="s">
        <v>8</v>
      </c>
      <c r="E53" s="1">
        <v>276</v>
      </c>
      <c r="F53" s="1">
        <v>20</v>
      </c>
      <c r="G53" s="1" t="s">
        <v>116</v>
      </c>
      <c r="H53" s="1">
        <v>37</v>
      </c>
      <c r="I53" s="1">
        <f t="shared" si="1"/>
        <v>333</v>
      </c>
      <c r="J53" s="1">
        <f>I53</f>
        <v>333</v>
      </c>
      <c r="K53" s="1">
        <v>400</v>
      </c>
      <c r="L53" s="1">
        <f>(K53-J53)</f>
        <v>67</v>
      </c>
      <c r="M53" s="5">
        <f>ROUND(L53/J53,4)</f>
        <v>0.20119999999999999</v>
      </c>
      <c r="N53" s="1"/>
      <c r="O53" s="1"/>
      <c r="P53" s="1"/>
    </row>
    <row r="54" spans="1:16" hidden="1">
      <c r="A54" s="1" t="s">
        <v>13</v>
      </c>
      <c r="B54" s="1" t="s">
        <v>96</v>
      </c>
      <c r="C54" s="1" t="s">
        <v>347</v>
      </c>
      <c r="D54" s="1" t="s">
        <v>9</v>
      </c>
      <c r="E54" s="1">
        <v>1333</v>
      </c>
      <c r="F54" s="1">
        <v>28</v>
      </c>
      <c r="G54" s="1" t="s">
        <v>116</v>
      </c>
      <c r="H54" s="1">
        <v>56</v>
      </c>
      <c r="I54" s="1">
        <f t="shared" si="1"/>
        <v>1417</v>
      </c>
      <c r="J54" s="1">
        <v>1417</v>
      </c>
      <c r="K54" s="1">
        <v>1597</v>
      </c>
      <c r="L54" s="1">
        <f>(K54-J54)</f>
        <v>180</v>
      </c>
      <c r="M54" s="5">
        <f>ROUND(L54/J54,4)</f>
        <v>0.127</v>
      </c>
      <c r="N54" s="1" t="s">
        <v>25</v>
      </c>
      <c r="O54" s="1"/>
      <c r="P54" s="1"/>
    </row>
    <row r="55" spans="1:16">
      <c r="A55" s="1" t="s">
        <v>13</v>
      </c>
      <c r="B55" s="1" t="s">
        <v>38</v>
      </c>
      <c r="C55" s="1" t="s">
        <v>72</v>
      </c>
      <c r="D55" s="1" t="s">
        <v>8</v>
      </c>
      <c r="E55" s="1">
        <v>1100</v>
      </c>
      <c r="F55" s="1">
        <v>37</v>
      </c>
      <c r="G55" s="1" t="s">
        <v>5</v>
      </c>
      <c r="H55" s="1">
        <v>46</v>
      </c>
      <c r="I55" s="1">
        <f t="shared" si="1"/>
        <v>1183</v>
      </c>
      <c r="J55" s="1"/>
      <c r="K55" s="1"/>
      <c r="L55" s="1"/>
      <c r="M55" s="5"/>
      <c r="N55" s="1" t="s">
        <v>304</v>
      </c>
      <c r="O55" s="1"/>
      <c r="P55" s="1"/>
    </row>
    <row r="56" spans="1:16">
      <c r="A56" s="1" t="s">
        <v>357</v>
      </c>
      <c r="B56" s="1" t="s">
        <v>358</v>
      </c>
      <c r="C56" s="1" t="s">
        <v>359</v>
      </c>
      <c r="D56" s="1" t="s">
        <v>343</v>
      </c>
      <c r="E56" s="1">
        <v>147</v>
      </c>
      <c r="F56" s="1">
        <v>1</v>
      </c>
      <c r="G56" s="1" t="s">
        <v>5</v>
      </c>
      <c r="H56" s="1">
        <v>6</v>
      </c>
      <c r="I56" s="1">
        <f t="shared" si="1"/>
        <v>154</v>
      </c>
      <c r="J56" s="1"/>
      <c r="K56" s="1"/>
      <c r="L56" s="1"/>
      <c r="M56" s="5"/>
      <c r="N56" s="1"/>
      <c r="O56" s="1"/>
      <c r="P56" s="1"/>
    </row>
    <row r="57" spans="1:16" hidden="1">
      <c r="A57" s="1" t="s">
        <v>13</v>
      </c>
      <c r="B57" s="1" t="s">
        <v>96</v>
      </c>
      <c r="C57" s="1" t="s">
        <v>57</v>
      </c>
      <c r="D57" s="1" t="s">
        <v>8</v>
      </c>
      <c r="E57" s="1">
        <v>877</v>
      </c>
      <c r="F57" s="1">
        <v>75</v>
      </c>
      <c r="G57" s="1" t="s">
        <v>116</v>
      </c>
      <c r="H57" s="1">
        <v>69</v>
      </c>
      <c r="I57" s="1">
        <f t="shared" si="1"/>
        <v>1021</v>
      </c>
      <c r="J57" s="1">
        <v>1021</v>
      </c>
      <c r="K57" s="1">
        <v>1610</v>
      </c>
      <c r="L57" s="1">
        <f>(K57-J57)</f>
        <v>589</v>
      </c>
      <c r="M57" s="5">
        <f>ROUND(L57/J57,4)</f>
        <v>0.57689999999999997</v>
      </c>
      <c r="N57" s="1" t="s">
        <v>25</v>
      </c>
      <c r="O57" s="1"/>
      <c r="P57" s="1" t="s">
        <v>374</v>
      </c>
    </row>
    <row r="58" spans="1:16">
      <c r="A58" s="1" t="s">
        <v>13</v>
      </c>
      <c r="B58" s="1" t="s">
        <v>362</v>
      </c>
      <c r="C58" s="1" t="s">
        <v>76</v>
      </c>
      <c r="D58" s="1" t="s">
        <v>343</v>
      </c>
      <c r="E58" s="1">
        <v>209</v>
      </c>
      <c r="F58" s="1">
        <v>10</v>
      </c>
      <c r="G58" s="1" t="s">
        <v>5</v>
      </c>
      <c r="H58" s="1">
        <v>16</v>
      </c>
      <c r="I58" s="1">
        <f t="shared" si="1"/>
        <v>235</v>
      </c>
      <c r="J58" s="1"/>
      <c r="K58" s="1"/>
      <c r="L58" s="1"/>
      <c r="M58" s="5"/>
      <c r="N58" s="1"/>
      <c r="O58" s="1"/>
      <c r="P58" s="1" t="s">
        <v>374</v>
      </c>
    </row>
    <row r="59" spans="1:16">
      <c r="A59" s="1" t="s">
        <v>13</v>
      </c>
      <c r="B59" s="1" t="s">
        <v>38</v>
      </c>
      <c r="C59" s="1" t="s">
        <v>291</v>
      </c>
      <c r="D59" s="1" t="s">
        <v>8</v>
      </c>
      <c r="E59" s="1">
        <v>151</v>
      </c>
      <c r="F59" s="1">
        <v>6</v>
      </c>
      <c r="G59" s="1" t="s">
        <v>5</v>
      </c>
      <c r="H59" s="1">
        <v>11</v>
      </c>
      <c r="I59" s="1">
        <f t="shared" si="1"/>
        <v>168</v>
      </c>
      <c r="J59" s="1"/>
      <c r="K59" s="1"/>
      <c r="L59" s="1"/>
      <c r="M59" s="5"/>
      <c r="N59" s="1" t="s">
        <v>289</v>
      </c>
      <c r="O59" s="1"/>
      <c r="P59" s="1" t="s">
        <v>374</v>
      </c>
    </row>
    <row r="60" spans="1:16">
      <c r="A60" s="1" t="s">
        <v>13</v>
      </c>
      <c r="B60" s="1" t="s">
        <v>38</v>
      </c>
      <c r="C60" s="1" t="s">
        <v>348</v>
      </c>
      <c r="D60" s="1" t="s">
        <v>9</v>
      </c>
      <c r="E60" s="1">
        <v>751</v>
      </c>
      <c r="F60" s="1">
        <v>18</v>
      </c>
      <c r="G60" s="1" t="s">
        <v>5</v>
      </c>
      <c r="H60" s="1">
        <v>56</v>
      </c>
      <c r="I60" s="1">
        <f t="shared" si="1"/>
        <v>825</v>
      </c>
      <c r="J60" s="1"/>
      <c r="K60" s="1"/>
      <c r="L60" s="1"/>
      <c r="M60" s="5"/>
      <c r="N60" s="1" t="s">
        <v>353</v>
      </c>
      <c r="O60" s="1"/>
      <c r="P60" s="1" t="s">
        <v>374</v>
      </c>
    </row>
    <row r="61" spans="1:16" hidden="1">
      <c r="A61" s="1" t="s">
        <v>13</v>
      </c>
      <c r="B61" s="1" t="s">
        <v>96</v>
      </c>
      <c r="C61" s="1" t="s">
        <v>48</v>
      </c>
      <c r="D61" s="1" t="s">
        <v>8</v>
      </c>
      <c r="E61" s="1">
        <v>1315</v>
      </c>
      <c r="F61" s="1">
        <v>47</v>
      </c>
      <c r="G61" s="1" t="s">
        <v>116</v>
      </c>
      <c r="H61" s="1">
        <v>73</v>
      </c>
      <c r="I61" s="1">
        <f t="shared" si="1"/>
        <v>1435</v>
      </c>
      <c r="J61" s="1">
        <v>1435</v>
      </c>
      <c r="K61" s="1">
        <v>1569</v>
      </c>
      <c r="L61" s="1">
        <f>(K61-J61)</f>
        <v>134</v>
      </c>
      <c r="M61" s="5">
        <f>ROUND(L61/J61,4)</f>
        <v>9.3399999999999997E-2</v>
      </c>
      <c r="N61" s="1" t="s">
        <v>25</v>
      </c>
      <c r="O61" s="1"/>
      <c r="P61" s="1" t="s">
        <v>375</v>
      </c>
    </row>
    <row r="62" spans="1:16">
      <c r="A62" s="1" t="s">
        <v>13</v>
      </c>
      <c r="B62" s="1" t="s">
        <v>38</v>
      </c>
      <c r="C62" s="1" t="s">
        <v>861</v>
      </c>
      <c r="D62" s="1" t="s">
        <v>8</v>
      </c>
      <c r="E62" s="1">
        <v>236</v>
      </c>
      <c r="F62" s="1">
        <v>20</v>
      </c>
      <c r="G62" s="1" t="s">
        <v>5</v>
      </c>
      <c r="H62" s="1">
        <v>13</v>
      </c>
      <c r="I62" s="1">
        <f t="shared" si="1"/>
        <v>269</v>
      </c>
      <c r="J62" s="1"/>
      <c r="K62" s="1"/>
      <c r="L62" s="1"/>
      <c r="M62" s="5"/>
      <c r="N62" s="1"/>
      <c r="O62" s="1"/>
      <c r="P62" s="1" t="s">
        <v>375</v>
      </c>
    </row>
    <row r="63" spans="1:16">
      <c r="A63" s="1" t="s">
        <v>13</v>
      </c>
      <c r="B63" s="1" t="s">
        <v>38</v>
      </c>
      <c r="C63" s="1" t="s">
        <v>303</v>
      </c>
      <c r="D63" s="1" t="s">
        <v>8</v>
      </c>
      <c r="E63" s="1">
        <v>740</v>
      </c>
      <c r="F63" s="1">
        <v>19</v>
      </c>
      <c r="G63" s="1" t="s">
        <v>5</v>
      </c>
      <c r="H63" s="1">
        <v>41</v>
      </c>
      <c r="I63" s="1">
        <f t="shared" si="1"/>
        <v>800</v>
      </c>
      <c r="J63" s="1"/>
      <c r="K63" s="1"/>
      <c r="L63" s="1"/>
      <c r="M63" s="5"/>
      <c r="N63" s="1" t="s">
        <v>344</v>
      </c>
      <c r="O63" s="1"/>
      <c r="P63" s="1" t="s">
        <v>375</v>
      </c>
    </row>
    <row r="64" spans="1:16" hidden="1">
      <c r="A64" s="1" t="s">
        <v>13</v>
      </c>
      <c r="B64" s="1" t="s">
        <v>77</v>
      </c>
      <c r="C64" s="1" t="s">
        <v>112</v>
      </c>
      <c r="D64" s="1" t="s">
        <v>29</v>
      </c>
      <c r="E64" s="1">
        <v>222</v>
      </c>
      <c r="F64" s="1">
        <v>19</v>
      </c>
      <c r="G64" s="1" t="s">
        <v>4</v>
      </c>
      <c r="H64" s="1">
        <v>13</v>
      </c>
      <c r="I64" s="1">
        <f t="shared" si="1"/>
        <v>254</v>
      </c>
      <c r="J64" s="1">
        <v>254</v>
      </c>
      <c r="K64" s="1">
        <v>369</v>
      </c>
      <c r="L64" s="1">
        <f>(K64-J64)</f>
        <v>115</v>
      </c>
      <c r="M64" s="5">
        <f>ROUND(L64/J64,4)</f>
        <v>0.45279999999999998</v>
      </c>
      <c r="N64" s="1" t="s">
        <v>131</v>
      </c>
      <c r="O64" s="1"/>
      <c r="P64" s="1" t="s">
        <v>375</v>
      </c>
    </row>
    <row r="65" spans="1:16">
      <c r="A65" s="1" t="s">
        <v>13</v>
      </c>
      <c r="B65" s="1" t="s">
        <v>38</v>
      </c>
      <c r="C65" s="1" t="s">
        <v>1159</v>
      </c>
      <c r="D65" s="1" t="s">
        <v>287</v>
      </c>
      <c r="E65" s="1">
        <v>120</v>
      </c>
      <c r="F65" s="1">
        <v>40</v>
      </c>
      <c r="G65" s="1" t="s">
        <v>116</v>
      </c>
      <c r="H65" s="1"/>
      <c r="I65" s="1">
        <f t="shared" si="1"/>
        <v>160</v>
      </c>
      <c r="J65" s="1">
        <v>160</v>
      </c>
      <c r="K65" s="1">
        <v>168</v>
      </c>
      <c r="L65" s="1">
        <f>(K65-J65)</f>
        <v>8</v>
      </c>
      <c r="M65" s="5">
        <f>ROUND(L65/J65,4)</f>
        <v>0.05</v>
      </c>
      <c r="N65" s="1"/>
      <c r="O65" s="1"/>
      <c r="P65" s="1"/>
    </row>
    <row r="66" spans="1:16">
      <c r="A66" s="1" t="s">
        <v>13</v>
      </c>
      <c r="B66" s="1" t="s">
        <v>38</v>
      </c>
      <c r="C66" s="1" t="s">
        <v>341</v>
      </c>
      <c r="D66" s="1" t="s">
        <v>343</v>
      </c>
      <c r="E66" s="1">
        <v>233</v>
      </c>
      <c r="F66" s="1">
        <v>45</v>
      </c>
      <c r="G66" s="1" t="s">
        <v>5</v>
      </c>
      <c r="H66" s="1"/>
      <c r="I66" s="1">
        <f t="shared" si="1"/>
        <v>278</v>
      </c>
      <c r="J66" s="1"/>
      <c r="K66" s="1"/>
      <c r="L66" s="1"/>
      <c r="M66" s="5"/>
      <c r="N66" s="1" t="s">
        <v>392</v>
      </c>
      <c r="O66" s="1" t="s">
        <v>388</v>
      </c>
      <c r="P66" s="1"/>
    </row>
    <row r="67" spans="1:16" hidden="1">
      <c r="A67" s="1" t="s">
        <v>13</v>
      </c>
      <c r="B67" s="1" t="s">
        <v>38</v>
      </c>
      <c r="C67" s="1" t="s">
        <v>373</v>
      </c>
      <c r="D67" s="1" t="s">
        <v>8</v>
      </c>
      <c r="E67" s="1">
        <v>1426</v>
      </c>
      <c r="F67" s="1">
        <v>163</v>
      </c>
      <c r="G67" s="1" t="s">
        <v>4</v>
      </c>
      <c r="H67" s="1">
        <v>105</v>
      </c>
      <c r="I67" s="1">
        <f t="shared" si="1"/>
        <v>1694</v>
      </c>
      <c r="J67" s="1">
        <v>1694</v>
      </c>
      <c r="K67" s="1">
        <v>2020</v>
      </c>
      <c r="L67" s="1">
        <f>(K67-J67)</f>
        <v>326</v>
      </c>
      <c r="M67" s="5">
        <f>ROUND(L67/J67,4)</f>
        <v>0.19239999999999999</v>
      </c>
      <c r="N67" s="1"/>
      <c r="O67" s="1"/>
      <c r="P67" s="1" t="s">
        <v>393</v>
      </c>
    </row>
    <row r="68" spans="1:16">
      <c r="A68" s="1" t="s">
        <v>13</v>
      </c>
      <c r="B68" s="1" t="s">
        <v>38</v>
      </c>
      <c r="C68" s="1" t="s">
        <v>51</v>
      </c>
      <c r="D68" s="1" t="s">
        <v>8</v>
      </c>
      <c r="E68" s="1">
        <v>321</v>
      </c>
      <c r="F68" s="1">
        <v>28</v>
      </c>
      <c r="G68" s="1" t="s">
        <v>5</v>
      </c>
      <c r="H68" s="1">
        <v>14</v>
      </c>
      <c r="I68" s="1">
        <f t="shared" si="1"/>
        <v>363</v>
      </c>
      <c r="J68" s="1"/>
      <c r="K68" s="1"/>
      <c r="L68" s="1"/>
      <c r="M68" s="5"/>
      <c r="N68" s="1"/>
      <c r="O68" s="1"/>
      <c r="P68" s="1" t="s">
        <v>393</v>
      </c>
    </row>
    <row r="69" spans="1:16">
      <c r="A69" s="1" t="s">
        <v>13</v>
      </c>
      <c r="B69" s="1" t="s">
        <v>38</v>
      </c>
      <c r="C69" s="1" t="s">
        <v>355</v>
      </c>
      <c r="D69" s="1" t="s">
        <v>343</v>
      </c>
      <c r="E69" s="1">
        <v>750</v>
      </c>
      <c r="F69" s="1">
        <v>28</v>
      </c>
      <c r="G69" s="1" t="s">
        <v>5</v>
      </c>
      <c r="H69" s="1">
        <v>33</v>
      </c>
      <c r="I69" s="1">
        <f t="shared" ref="I69:I77" si="6">(E69+F69+H69)</f>
        <v>811</v>
      </c>
      <c r="J69" s="1"/>
      <c r="K69" s="1"/>
      <c r="L69" s="1"/>
      <c r="M69" s="5"/>
      <c r="N69" s="1"/>
      <c r="O69" s="1"/>
      <c r="P69" s="1" t="s">
        <v>393</v>
      </c>
    </row>
    <row r="70" spans="1:16">
      <c r="A70" s="1" t="s">
        <v>13</v>
      </c>
      <c r="B70" s="1" t="s">
        <v>38</v>
      </c>
      <c r="C70" s="1" t="s">
        <v>47</v>
      </c>
      <c r="D70" s="1" t="s">
        <v>8</v>
      </c>
      <c r="E70" s="1">
        <v>306</v>
      </c>
      <c r="F70" s="1">
        <v>54</v>
      </c>
      <c r="G70" s="1" t="s">
        <v>5</v>
      </c>
      <c r="H70" s="1">
        <v>13</v>
      </c>
      <c r="I70" s="1">
        <f t="shared" si="6"/>
        <v>373</v>
      </c>
      <c r="J70" s="1"/>
      <c r="K70" s="1"/>
      <c r="L70" s="1"/>
      <c r="M70" s="5"/>
      <c r="N70" s="1"/>
      <c r="O70" s="1"/>
      <c r="P70" s="1" t="s">
        <v>393</v>
      </c>
    </row>
    <row r="71" spans="1:16">
      <c r="A71" s="1" t="s">
        <v>13</v>
      </c>
      <c r="B71" s="1" t="s">
        <v>96</v>
      </c>
      <c r="C71" s="1" t="s">
        <v>48</v>
      </c>
      <c r="D71" s="1" t="s">
        <v>8</v>
      </c>
      <c r="E71" s="1">
        <v>1692</v>
      </c>
      <c r="F71" s="1">
        <v>72</v>
      </c>
      <c r="G71" s="1" t="s">
        <v>5</v>
      </c>
      <c r="H71" s="1">
        <v>74</v>
      </c>
      <c r="I71" s="1">
        <f t="shared" si="6"/>
        <v>1838</v>
      </c>
      <c r="J71" s="1"/>
      <c r="K71" s="1"/>
      <c r="L71" s="1"/>
      <c r="M71" s="5"/>
      <c r="N71" s="1" t="s">
        <v>24</v>
      </c>
      <c r="O71" s="1"/>
      <c r="P71" s="1" t="s">
        <v>393</v>
      </c>
    </row>
    <row r="72" spans="1:16">
      <c r="A72" s="1" t="s">
        <v>13</v>
      </c>
      <c r="B72" s="1" t="s">
        <v>38</v>
      </c>
      <c r="C72" s="1" t="s">
        <v>48</v>
      </c>
      <c r="D72" s="1" t="s">
        <v>29</v>
      </c>
      <c r="E72" s="1">
        <v>267</v>
      </c>
      <c r="F72" s="1">
        <v>67</v>
      </c>
      <c r="G72" s="1" t="s">
        <v>5</v>
      </c>
      <c r="H72" s="1"/>
      <c r="I72" s="1">
        <f t="shared" si="6"/>
        <v>334</v>
      </c>
      <c r="J72" s="1"/>
      <c r="K72" s="1"/>
      <c r="L72" s="1"/>
      <c r="M72" s="5"/>
      <c r="N72" s="1"/>
      <c r="O72" s="1"/>
      <c r="P72" s="1" t="s">
        <v>393</v>
      </c>
    </row>
    <row r="73" spans="1:16" hidden="1">
      <c r="A73" s="1" t="s">
        <v>13</v>
      </c>
      <c r="B73" s="1" t="s">
        <v>38</v>
      </c>
      <c r="C73" s="1" t="s">
        <v>377</v>
      </c>
      <c r="D73" s="1" t="s">
        <v>343</v>
      </c>
      <c r="E73" s="1">
        <v>184</v>
      </c>
      <c r="F73" s="1">
        <v>68</v>
      </c>
      <c r="G73" s="1" t="s">
        <v>116</v>
      </c>
      <c r="H73" s="1"/>
      <c r="I73" s="1">
        <f t="shared" si="6"/>
        <v>252</v>
      </c>
      <c r="J73" s="1">
        <v>252</v>
      </c>
      <c r="K73" s="1">
        <v>321</v>
      </c>
      <c r="L73" s="1">
        <f>(K73-J73)</f>
        <v>69</v>
      </c>
      <c r="M73" s="5">
        <f>ROUND(L73/J73,4)</f>
        <v>0.27379999999999999</v>
      </c>
      <c r="N73" s="1"/>
      <c r="O73" s="1"/>
      <c r="P73" s="1" t="s">
        <v>393</v>
      </c>
    </row>
    <row r="74" spans="1:16">
      <c r="A74" s="1" t="s">
        <v>13</v>
      </c>
      <c r="B74" s="1" t="s">
        <v>38</v>
      </c>
      <c r="C74" s="1" t="s">
        <v>532</v>
      </c>
      <c r="D74" s="1" t="s">
        <v>8</v>
      </c>
      <c r="E74" s="1">
        <v>121</v>
      </c>
      <c r="F74" s="1">
        <v>4</v>
      </c>
      <c r="G74" s="1" t="s">
        <v>5</v>
      </c>
      <c r="H74" s="1">
        <v>3</v>
      </c>
      <c r="I74" s="1">
        <f t="shared" si="6"/>
        <v>128</v>
      </c>
      <c r="J74" s="1"/>
      <c r="K74" s="1"/>
      <c r="L74" s="1"/>
      <c r="M74" s="5"/>
      <c r="N74" s="1" t="s">
        <v>289</v>
      </c>
      <c r="O74" s="1"/>
      <c r="P74" s="1" t="s">
        <v>419</v>
      </c>
    </row>
    <row r="75" spans="1:16" hidden="1">
      <c r="A75" s="1" t="s">
        <v>13</v>
      </c>
      <c r="B75" s="1" t="s">
        <v>96</v>
      </c>
      <c r="C75" s="1" t="s">
        <v>347</v>
      </c>
      <c r="D75" s="1" t="s">
        <v>343</v>
      </c>
      <c r="E75" s="1">
        <v>2212</v>
      </c>
      <c r="F75" s="1">
        <v>48</v>
      </c>
      <c r="G75" s="1" t="s">
        <v>116</v>
      </c>
      <c r="H75" s="1">
        <v>56</v>
      </c>
      <c r="I75" s="1">
        <f t="shared" si="6"/>
        <v>2316</v>
      </c>
      <c r="J75" s="1">
        <v>2316</v>
      </c>
      <c r="K75" s="1">
        <v>2800</v>
      </c>
      <c r="L75" s="1">
        <f>(K75-J75)</f>
        <v>484</v>
      </c>
      <c r="M75" s="5">
        <f>ROUND(L75/J75,4)</f>
        <v>0.20899999999999999</v>
      </c>
      <c r="N75" s="1" t="s">
        <v>381</v>
      </c>
      <c r="O75" s="1"/>
      <c r="P75" s="1" t="s">
        <v>419</v>
      </c>
    </row>
    <row r="76" spans="1:16" hidden="1">
      <c r="A76" s="1" t="s">
        <v>13</v>
      </c>
      <c r="B76" s="1" t="s">
        <v>96</v>
      </c>
      <c r="C76" s="1" t="s">
        <v>418</v>
      </c>
      <c r="D76" s="1" t="s">
        <v>343</v>
      </c>
      <c r="E76" s="1">
        <v>1545</v>
      </c>
      <c r="F76" s="1">
        <v>69</v>
      </c>
      <c r="G76" s="1" t="s">
        <v>116</v>
      </c>
      <c r="H76" s="1">
        <v>39</v>
      </c>
      <c r="I76" s="1">
        <f t="shared" si="6"/>
        <v>1653</v>
      </c>
      <c r="J76" s="1">
        <v>1653</v>
      </c>
      <c r="K76" s="1">
        <v>2200</v>
      </c>
      <c r="L76" s="1">
        <f>(K76-J76)</f>
        <v>547</v>
      </c>
      <c r="M76" s="5">
        <f>ROUND(L76/J76,4)</f>
        <v>0.33090000000000003</v>
      </c>
      <c r="N76" s="1" t="s">
        <v>381</v>
      </c>
      <c r="O76" s="1"/>
      <c r="P76" s="1" t="s">
        <v>419</v>
      </c>
    </row>
    <row r="77" spans="1:16" hidden="1">
      <c r="A77" s="1" t="s">
        <v>13</v>
      </c>
      <c r="B77" s="1" t="s">
        <v>38</v>
      </c>
      <c r="C77" s="1" t="s">
        <v>370</v>
      </c>
      <c r="D77" s="1" t="s">
        <v>8</v>
      </c>
      <c r="E77" s="1">
        <v>1125</v>
      </c>
      <c r="F77" s="1">
        <v>129</v>
      </c>
      <c r="G77" s="1" t="s">
        <v>116</v>
      </c>
      <c r="H77" s="1">
        <v>137</v>
      </c>
      <c r="I77" s="1">
        <f t="shared" si="6"/>
        <v>1391</v>
      </c>
      <c r="J77" s="1">
        <v>1391</v>
      </c>
      <c r="K77" s="1">
        <v>1299</v>
      </c>
      <c r="L77" s="1">
        <f>(K77-J77)</f>
        <v>-92</v>
      </c>
      <c r="M77" s="5">
        <f>ROUND(L77/J77,4)</f>
        <v>-6.6100000000000006E-2</v>
      </c>
      <c r="N77" s="1"/>
      <c r="O77" s="1"/>
      <c r="P77" s="1" t="s">
        <v>387</v>
      </c>
    </row>
    <row r="78" spans="1:16">
      <c r="A78" s="1" t="s">
        <v>13</v>
      </c>
      <c r="B78" s="1" t="s">
        <v>354</v>
      </c>
      <c r="C78" s="1" t="s">
        <v>1160</v>
      </c>
      <c r="D78" s="1" t="s">
        <v>8</v>
      </c>
      <c r="E78" s="1">
        <v>84</v>
      </c>
      <c r="F78" s="1">
        <v>2</v>
      </c>
      <c r="G78" s="1" t="s">
        <v>5</v>
      </c>
      <c r="H78" s="1">
        <v>10</v>
      </c>
      <c r="I78" s="1">
        <f t="shared" ref="I78:I87" si="7">(E78+F78+H78)</f>
        <v>96</v>
      </c>
      <c r="J78" s="1"/>
      <c r="K78" s="1"/>
      <c r="L78" s="1"/>
      <c r="M78" s="5"/>
      <c r="N78" s="1"/>
      <c r="O78" s="1"/>
      <c r="P78" s="1" t="s">
        <v>387</v>
      </c>
    </row>
    <row r="79" spans="1:16" hidden="1">
      <c r="A79" s="1" t="s">
        <v>13</v>
      </c>
      <c r="B79" s="1" t="s">
        <v>38</v>
      </c>
      <c r="C79" s="1" t="s">
        <v>341</v>
      </c>
      <c r="D79" s="1" t="s">
        <v>8</v>
      </c>
      <c r="E79" s="1">
        <v>114</v>
      </c>
      <c r="F79" s="1">
        <v>10</v>
      </c>
      <c r="G79" s="1" t="s">
        <v>116</v>
      </c>
      <c r="H79" s="1">
        <v>14</v>
      </c>
      <c r="I79" s="1">
        <f t="shared" si="7"/>
        <v>138</v>
      </c>
      <c r="J79" s="1">
        <v>138</v>
      </c>
      <c r="K79" s="1">
        <v>195</v>
      </c>
      <c r="L79" s="1">
        <f>(K79-J79)</f>
        <v>57</v>
      </c>
      <c r="M79" s="5">
        <f>ROUND(L79/J79,4)</f>
        <v>0.41299999999999998</v>
      </c>
      <c r="N79" s="1"/>
      <c r="O79" s="1"/>
      <c r="P79" s="1" t="s">
        <v>387</v>
      </c>
    </row>
    <row r="80" spans="1:16" hidden="1">
      <c r="A80" s="1" t="s">
        <v>13</v>
      </c>
      <c r="B80" s="1" t="s">
        <v>38</v>
      </c>
      <c r="C80" s="1" t="s">
        <v>342</v>
      </c>
      <c r="D80" s="1" t="s">
        <v>9</v>
      </c>
      <c r="E80" s="1">
        <v>123</v>
      </c>
      <c r="F80" s="1">
        <v>17</v>
      </c>
      <c r="G80" s="1" t="s">
        <v>116</v>
      </c>
      <c r="H80" s="1">
        <v>15</v>
      </c>
      <c r="I80" s="1">
        <f t="shared" si="7"/>
        <v>155</v>
      </c>
      <c r="J80" s="1">
        <v>155</v>
      </c>
      <c r="K80" s="1">
        <v>166</v>
      </c>
      <c r="L80" s="1">
        <f>(K80-J80)</f>
        <v>11</v>
      </c>
      <c r="M80" s="5">
        <f>ROUND(L80/J80,4)</f>
        <v>7.0999999999999994E-2</v>
      </c>
      <c r="N80" s="1"/>
      <c r="O80" s="1"/>
      <c r="P80" s="1" t="s">
        <v>387</v>
      </c>
    </row>
    <row r="81" spans="1:16" hidden="1">
      <c r="A81" s="1" t="s">
        <v>13</v>
      </c>
      <c r="B81" s="1" t="s">
        <v>96</v>
      </c>
      <c r="C81" s="1" t="s">
        <v>44</v>
      </c>
      <c r="D81" s="1" t="s">
        <v>343</v>
      </c>
      <c r="E81" s="1">
        <v>1290</v>
      </c>
      <c r="F81" s="1">
        <v>87</v>
      </c>
      <c r="G81" s="1" t="s">
        <v>116</v>
      </c>
      <c r="H81" s="1">
        <v>61</v>
      </c>
      <c r="I81" s="1">
        <f t="shared" si="7"/>
        <v>1438</v>
      </c>
      <c r="J81" s="1">
        <v>1438</v>
      </c>
      <c r="K81" s="1">
        <v>1650</v>
      </c>
      <c r="L81" s="1">
        <f>(K81-J81)</f>
        <v>212</v>
      </c>
      <c r="M81" s="5">
        <f>ROUND(L81/J81,4)</f>
        <v>0.1474</v>
      </c>
      <c r="N81" s="1" t="s">
        <v>407</v>
      </c>
      <c r="O81" s="1"/>
      <c r="P81" s="1" t="s">
        <v>433</v>
      </c>
    </row>
    <row r="82" spans="1:16" hidden="1">
      <c r="A82" s="1" t="s">
        <v>13</v>
      </c>
      <c r="B82" s="1" t="s">
        <v>38</v>
      </c>
      <c r="C82" s="1" t="s">
        <v>725</v>
      </c>
      <c r="D82" s="1" t="s">
        <v>8</v>
      </c>
      <c r="E82" s="1">
        <v>1192</v>
      </c>
      <c r="F82" s="1">
        <v>26</v>
      </c>
      <c r="G82" s="1" t="s">
        <v>116</v>
      </c>
      <c r="H82" s="1">
        <v>56</v>
      </c>
      <c r="I82" s="1">
        <f t="shared" si="7"/>
        <v>1274</v>
      </c>
      <c r="J82" s="1">
        <v>1274</v>
      </c>
      <c r="K82" s="1">
        <v>1183</v>
      </c>
      <c r="L82" s="1">
        <f>(K82-J82)</f>
        <v>-91</v>
      </c>
      <c r="M82" s="5">
        <f>ROUND(L82/J82,4)</f>
        <v>-7.1400000000000005E-2</v>
      </c>
      <c r="N82" s="1" t="s">
        <v>407</v>
      </c>
      <c r="O82" s="1"/>
      <c r="P82" s="1" t="s">
        <v>433</v>
      </c>
    </row>
    <row r="83" spans="1:16">
      <c r="A83" s="1" t="s">
        <v>15</v>
      </c>
      <c r="B83" s="1" t="s">
        <v>38</v>
      </c>
      <c r="C83" s="1" t="s">
        <v>690</v>
      </c>
      <c r="D83" s="1" t="s">
        <v>8</v>
      </c>
      <c r="E83" s="1">
        <v>331</v>
      </c>
      <c r="F83" s="1">
        <v>18</v>
      </c>
      <c r="G83" s="1" t="s">
        <v>5</v>
      </c>
      <c r="H83" s="1">
        <v>16</v>
      </c>
      <c r="I83" s="1">
        <f t="shared" si="7"/>
        <v>365</v>
      </c>
      <c r="J83" s="1"/>
      <c r="K83" s="1"/>
      <c r="L83" s="1"/>
      <c r="M83" s="5"/>
      <c r="N83" s="1" t="s">
        <v>407</v>
      </c>
      <c r="O83" s="1"/>
      <c r="P83" s="1" t="s">
        <v>433</v>
      </c>
    </row>
    <row r="84" spans="1:16">
      <c r="A84" s="1" t="s">
        <v>294</v>
      </c>
      <c r="B84" s="1" t="s">
        <v>273</v>
      </c>
      <c r="C84" s="1" t="s">
        <v>411</v>
      </c>
      <c r="D84" s="1" t="s">
        <v>8</v>
      </c>
      <c r="E84" s="1">
        <v>647</v>
      </c>
      <c r="F84" s="1">
        <v>37</v>
      </c>
      <c r="G84" s="1" t="s">
        <v>5</v>
      </c>
      <c r="H84" s="1">
        <v>31</v>
      </c>
      <c r="I84" s="1">
        <f t="shared" si="7"/>
        <v>715</v>
      </c>
      <c r="J84" s="1"/>
      <c r="K84" s="1"/>
      <c r="L84" s="1"/>
      <c r="M84" s="5"/>
      <c r="N84" s="1" t="s">
        <v>407</v>
      </c>
      <c r="O84" s="1"/>
      <c r="P84" s="1" t="s">
        <v>433</v>
      </c>
    </row>
    <row r="85" spans="1:16">
      <c r="A85" s="1" t="s">
        <v>13</v>
      </c>
      <c r="B85" s="1" t="s">
        <v>38</v>
      </c>
      <c r="C85" s="1" t="s">
        <v>607</v>
      </c>
      <c r="D85" s="1" t="s">
        <v>8</v>
      </c>
      <c r="E85" s="1">
        <v>173</v>
      </c>
      <c r="F85" s="1">
        <v>22</v>
      </c>
      <c r="G85" s="1" t="s">
        <v>5</v>
      </c>
      <c r="H85" s="1">
        <v>18</v>
      </c>
      <c r="I85" s="1">
        <f t="shared" si="7"/>
        <v>213</v>
      </c>
      <c r="J85" s="1"/>
      <c r="K85" s="1"/>
      <c r="L85" s="1"/>
      <c r="M85" s="5"/>
      <c r="N85" s="1"/>
      <c r="O85" s="1"/>
      <c r="P85" s="1" t="s">
        <v>430</v>
      </c>
    </row>
    <row r="86" spans="1:16" hidden="1">
      <c r="A86" s="1" t="s">
        <v>13</v>
      </c>
      <c r="B86" s="1" t="s">
        <v>38</v>
      </c>
      <c r="C86" s="1" t="s">
        <v>446</v>
      </c>
      <c r="D86" s="1" t="s">
        <v>343</v>
      </c>
      <c r="E86" s="1">
        <v>182</v>
      </c>
      <c r="F86" s="1">
        <v>37</v>
      </c>
      <c r="G86" s="1" t="s">
        <v>116</v>
      </c>
      <c r="H86" s="1">
        <v>19</v>
      </c>
      <c r="I86" s="1">
        <f t="shared" si="7"/>
        <v>238</v>
      </c>
      <c r="J86" s="1">
        <v>238</v>
      </c>
      <c r="K86" s="1">
        <v>239</v>
      </c>
      <c r="L86" s="1">
        <f>(K86-J86)</f>
        <v>1</v>
      </c>
      <c r="M86" s="5">
        <f>ROUND(L86/J86,4)</f>
        <v>4.1999999999999997E-3</v>
      </c>
      <c r="N86" s="1"/>
      <c r="O86" s="1"/>
      <c r="P86" s="1" t="s">
        <v>430</v>
      </c>
    </row>
    <row r="87" spans="1:16">
      <c r="A87" s="1" t="s">
        <v>13</v>
      </c>
      <c r="B87" s="1" t="s">
        <v>38</v>
      </c>
      <c r="C87" s="1" t="s">
        <v>665</v>
      </c>
      <c r="D87" s="1" t="s">
        <v>8</v>
      </c>
      <c r="E87" s="1">
        <v>1023</v>
      </c>
      <c r="F87" s="1">
        <v>105</v>
      </c>
      <c r="G87" s="1" t="s">
        <v>319</v>
      </c>
      <c r="H87" s="1">
        <v>75</v>
      </c>
      <c r="I87" s="1">
        <f t="shared" si="7"/>
        <v>1203</v>
      </c>
      <c r="J87" s="1">
        <v>371</v>
      </c>
      <c r="K87" s="1">
        <v>465</v>
      </c>
      <c r="L87" s="1">
        <f>(K87-J87)</f>
        <v>94</v>
      </c>
      <c r="M87" s="5">
        <f>ROUND(L87/J87,4)</f>
        <v>0.25340000000000001</v>
      </c>
      <c r="N87" s="1" t="s">
        <v>666</v>
      </c>
      <c r="O87" s="1"/>
      <c r="P87" s="1" t="s">
        <v>430</v>
      </c>
    </row>
    <row r="88" spans="1:16" hidden="1">
      <c r="A88" s="1" t="s">
        <v>13</v>
      </c>
      <c r="B88" s="1" t="s">
        <v>38</v>
      </c>
      <c r="C88" s="1" t="s">
        <v>339</v>
      </c>
      <c r="D88" s="1" t="s">
        <v>8</v>
      </c>
      <c r="E88" s="1">
        <v>192</v>
      </c>
      <c r="F88" s="1">
        <v>26</v>
      </c>
      <c r="G88" s="1" t="s">
        <v>116</v>
      </c>
      <c r="H88" s="1">
        <v>19</v>
      </c>
      <c r="I88" s="1">
        <f t="shared" ref="I88:I99" si="8">(E88+F88+H88)</f>
        <v>237</v>
      </c>
      <c r="J88" s="1">
        <v>237</v>
      </c>
      <c r="K88" s="1">
        <v>180</v>
      </c>
      <c r="L88" s="1">
        <f>(K88-J88)</f>
        <v>-57</v>
      </c>
      <c r="M88" s="5">
        <f>ROUND(L88/J88,4)</f>
        <v>-0.24049999999999999</v>
      </c>
      <c r="N88" s="1"/>
      <c r="O88" s="1"/>
      <c r="P88" s="1" t="s">
        <v>438</v>
      </c>
    </row>
    <row r="89" spans="1:16">
      <c r="A89" s="1" t="s">
        <v>13</v>
      </c>
      <c r="B89" s="1" t="s">
        <v>38</v>
      </c>
      <c r="C89" s="1" t="s">
        <v>338</v>
      </c>
      <c r="D89" s="1" t="s">
        <v>8</v>
      </c>
      <c r="E89" s="1">
        <v>250</v>
      </c>
      <c r="F89" s="1">
        <v>25</v>
      </c>
      <c r="G89" s="1" t="s">
        <v>5</v>
      </c>
      <c r="H89" s="1">
        <v>25</v>
      </c>
      <c r="I89" s="1">
        <f t="shared" si="8"/>
        <v>300</v>
      </c>
      <c r="J89" s="1"/>
      <c r="K89" s="1"/>
      <c r="L89" s="1"/>
      <c r="M89" s="5"/>
      <c r="N89" s="1"/>
      <c r="O89" s="1"/>
      <c r="P89" s="1" t="s">
        <v>438</v>
      </c>
    </row>
    <row r="90" spans="1:16">
      <c r="A90" s="1" t="s">
        <v>13</v>
      </c>
      <c r="B90" s="1" t="s">
        <v>38</v>
      </c>
      <c r="C90" s="1" t="s">
        <v>340</v>
      </c>
      <c r="D90" s="1" t="s">
        <v>8</v>
      </c>
      <c r="E90" s="1">
        <v>596</v>
      </c>
      <c r="F90" s="1">
        <v>122</v>
      </c>
      <c r="G90" s="1" t="s">
        <v>5</v>
      </c>
      <c r="H90" s="1">
        <v>60</v>
      </c>
      <c r="I90" s="1">
        <f t="shared" si="8"/>
        <v>778</v>
      </c>
      <c r="J90" s="1"/>
      <c r="K90" s="1"/>
      <c r="L90" s="1"/>
      <c r="M90" s="5"/>
      <c r="N90" s="1" t="s">
        <v>26</v>
      </c>
      <c r="O90" s="1"/>
      <c r="P90" s="1" t="s">
        <v>438</v>
      </c>
    </row>
    <row r="91" spans="1:16" hidden="1">
      <c r="A91" s="1" t="s">
        <v>13</v>
      </c>
      <c r="B91" s="1" t="s">
        <v>38</v>
      </c>
      <c r="C91" s="1" t="s">
        <v>355</v>
      </c>
      <c r="D91" s="1" t="s">
        <v>29</v>
      </c>
      <c r="E91" s="1">
        <v>592</v>
      </c>
      <c r="F91" s="1">
        <v>15</v>
      </c>
      <c r="G91" s="1" t="s">
        <v>116</v>
      </c>
      <c r="H91" s="1">
        <v>59</v>
      </c>
      <c r="I91" s="1">
        <f t="shared" si="8"/>
        <v>666</v>
      </c>
      <c r="J91" s="1">
        <v>666</v>
      </c>
      <c r="K91" s="1">
        <v>618</v>
      </c>
      <c r="L91" s="1">
        <f>(K91-J91)</f>
        <v>-48</v>
      </c>
      <c r="M91" s="5">
        <f>ROUND(L91/J91,4)</f>
        <v>-7.2099999999999997E-2</v>
      </c>
      <c r="N91" s="1"/>
      <c r="O91" s="1"/>
      <c r="P91" s="1" t="s">
        <v>438</v>
      </c>
    </row>
    <row r="92" spans="1:16">
      <c r="A92" s="1" t="s">
        <v>13</v>
      </c>
      <c r="B92" s="1" t="s">
        <v>38</v>
      </c>
      <c r="C92" s="1" t="s">
        <v>270</v>
      </c>
      <c r="D92" s="1" t="s">
        <v>343</v>
      </c>
      <c r="E92" s="1">
        <v>497</v>
      </c>
      <c r="F92" s="1">
        <v>75</v>
      </c>
      <c r="G92" s="1" t="s">
        <v>5</v>
      </c>
      <c r="H92" s="1">
        <v>60</v>
      </c>
      <c r="I92" s="1">
        <f>(E92+F92+H92)</f>
        <v>632</v>
      </c>
      <c r="J92" s="1"/>
      <c r="K92" s="1"/>
      <c r="L92" s="1"/>
      <c r="M92" s="5"/>
      <c r="N92" s="1" t="s">
        <v>474</v>
      </c>
      <c r="O92" s="1"/>
      <c r="P92" s="1"/>
    </row>
    <row r="93" spans="1:16" hidden="1">
      <c r="A93" s="1" t="s">
        <v>13</v>
      </c>
      <c r="B93" s="1" t="s">
        <v>96</v>
      </c>
      <c r="C93" s="1" t="s">
        <v>609</v>
      </c>
      <c r="D93" s="1" t="s">
        <v>9</v>
      </c>
      <c r="E93" s="1">
        <v>1877</v>
      </c>
      <c r="F93" s="1">
        <v>68</v>
      </c>
      <c r="G93" s="1" t="s">
        <v>116</v>
      </c>
      <c r="H93" s="1">
        <v>83</v>
      </c>
      <c r="I93" s="1">
        <f>(E93+F93+H93)</f>
        <v>2028</v>
      </c>
      <c r="J93" s="1">
        <v>2028</v>
      </c>
      <c r="K93" s="1">
        <v>1988</v>
      </c>
      <c r="L93" s="1">
        <f>(K93-J93)</f>
        <v>-40</v>
      </c>
      <c r="M93" s="5">
        <f>ROUND(L93/J93,4)</f>
        <v>-1.9699999999999999E-2</v>
      </c>
      <c r="N93" s="1" t="s">
        <v>24</v>
      </c>
      <c r="O93" s="1"/>
      <c r="P93" s="1"/>
    </row>
    <row r="94" spans="1:16">
      <c r="A94" s="1" t="s">
        <v>13</v>
      </c>
      <c r="B94" s="1" t="s">
        <v>38</v>
      </c>
      <c r="C94" s="1" t="s">
        <v>346</v>
      </c>
      <c r="D94" s="1" t="s">
        <v>8</v>
      </c>
      <c r="E94" s="1">
        <v>20</v>
      </c>
      <c r="F94" s="1">
        <v>1</v>
      </c>
      <c r="G94" s="1" t="s">
        <v>5</v>
      </c>
      <c r="H94" s="1">
        <v>1</v>
      </c>
      <c r="I94" s="1">
        <f>(E94+F94+H94)</f>
        <v>22</v>
      </c>
      <c r="J94" s="1"/>
      <c r="K94" s="1"/>
      <c r="L94" s="1"/>
      <c r="M94" s="5"/>
      <c r="N94" s="1"/>
      <c r="O94" s="1"/>
      <c r="P94" s="1"/>
    </row>
    <row r="95" spans="1:16" hidden="1">
      <c r="A95" s="1" t="s">
        <v>13</v>
      </c>
      <c r="B95" s="1" t="s">
        <v>38</v>
      </c>
      <c r="C95" s="1" t="s">
        <v>37</v>
      </c>
      <c r="D95" s="1" t="s">
        <v>8</v>
      </c>
      <c r="E95" s="1">
        <v>252</v>
      </c>
      <c r="F95" s="1">
        <v>33</v>
      </c>
      <c r="G95" s="1" t="s">
        <v>116</v>
      </c>
      <c r="H95" s="1">
        <v>12</v>
      </c>
      <c r="I95" s="1">
        <f>(E95+F95+H95)</f>
        <v>297</v>
      </c>
      <c r="J95" s="1">
        <v>297</v>
      </c>
      <c r="K95" s="1">
        <v>388</v>
      </c>
      <c r="L95" s="1">
        <f>(K95-J95)</f>
        <v>91</v>
      </c>
      <c r="M95" s="5">
        <f>ROUND(L95/J95,4)</f>
        <v>0.30640000000000001</v>
      </c>
      <c r="N95" s="1" t="s">
        <v>26</v>
      </c>
      <c r="O95" s="1"/>
      <c r="P95" s="1"/>
    </row>
    <row r="96" spans="1:16">
      <c r="A96" s="1" t="s">
        <v>13</v>
      </c>
      <c r="B96" s="1" t="s">
        <v>38</v>
      </c>
      <c r="C96" s="1" t="s">
        <v>112</v>
      </c>
      <c r="D96" s="1" t="s">
        <v>8</v>
      </c>
      <c r="E96" s="1">
        <v>252</v>
      </c>
      <c r="F96" s="1"/>
      <c r="G96" s="1" t="s">
        <v>5</v>
      </c>
      <c r="H96" s="1">
        <v>11</v>
      </c>
      <c r="I96" s="1">
        <f>(E96+F96+H96)</f>
        <v>263</v>
      </c>
      <c r="J96" s="1"/>
      <c r="K96" s="1"/>
      <c r="L96" s="1"/>
      <c r="M96" s="5"/>
      <c r="N96" s="1"/>
      <c r="O96" s="1"/>
      <c r="P96" s="1"/>
    </row>
    <row r="97" spans="1:16" hidden="1">
      <c r="A97" s="1" t="s">
        <v>13</v>
      </c>
      <c r="B97" s="1" t="s">
        <v>96</v>
      </c>
      <c r="C97" s="1" t="s">
        <v>54</v>
      </c>
      <c r="D97" s="1" t="s">
        <v>8</v>
      </c>
      <c r="E97" s="1">
        <v>1082</v>
      </c>
      <c r="F97" s="1">
        <v>87</v>
      </c>
      <c r="G97" s="1" t="s">
        <v>116</v>
      </c>
      <c r="H97" s="1">
        <v>44</v>
      </c>
      <c r="I97" s="1">
        <f t="shared" si="8"/>
        <v>1213</v>
      </c>
      <c r="J97" s="1">
        <v>1213</v>
      </c>
      <c r="K97" s="1">
        <v>1779</v>
      </c>
      <c r="L97" s="1">
        <f>(K97-J97)</f>
        <v>566</v>
      </c>
      <c r="M97" s="5">
        <f>ROUND(L97/J97,4)</f>
        <v>0.46660000000000001</v>
      </c>
      <c r="N97" s="1" t="s">
        <v>24</v>
      </c>
      <c r="O97" s="1"/>
      <c r="P97" s="1" t="s">
        <v>441</v>
      </c>
    </row>
    <row r="98" spans="1:16">
      <c r="A98" s="1" t="s">
        <v>13</v>
      </c>
      <c r="B98" s="1" t="s">
        <v>35</v>
      </c>
      <c r="C98" s="1" t="s">
        <v>378</v>
      </c>
      <c r="D98" s="1" t="s">
        <v>8</v>
      </c>
      <c r="E98" s="1">
        <v>343</v>
      </c>
      <c r="F98" s="1">
        <v>18</v>
      </c>
      <c r="G98" s="1" t="s">
        <v>319</v>
      </c>
      <c r="H98" s="1">
        <v>14</v>
      </c>
      <c r="I98" s="1">
        <f t="shared" si="8"/>
        <v>375</v>
      </c>
      <c r="J98" s="1"/>
      <c r="K98" s="1"/>
      <c r="L98" s="1"/>
      <c r="M98" s="5"/>
      <c r="N98" s="1" t="s">
        <v>479</v>
      </c>
      <c r="O98" s="1"/>
      <c r="P98" s="1" t="s">
        <v>441</v>
      </c>
    </row>
    <row r="99" spans="1:16" hidden="1">
      <c r="A99" s="1" t="s">
        <v>372</v>
      </c>
      <c r="B99" s="1"/>
      <c r="C99" s="1" t="s">
        <v>495</v>
      </c>
      <c r="D99" s="1" t="s">
        <v>29</v>
      </c>
      <c r="E99" s="1">
        <v>680</v>
      </c>
      <c r="F99" s="1">
        <v>44</v>
      </c>
      <c r="G99" s="1" t="s">
        <v>116</v>
      </c>
      <c r="H99" s="1">
        <v>27</v>
      </c>
      <c r="I99" s="1">
        <f t="shared" si="8"/>
        <v>751</v>
      </c>
      <c r="J99" s="1">
        <v>751</v>
      </c>
      <c r="K99" s="1">
        <v>860</v>
      </c>
      <c r="L99" s="1">
        <f>(K99-J99)</f>
        <v>109</v>
      </c>
      <c r="M99" s="5">
        <f>ROUND(L99/J99,4)</f>
        <v>0.14510000000000001</v>
      </c>
      <c r="N99" s="1"/>
      <c r="O99" s="1"/>
      <c r="P99" s="1" t="s">
        <v>441</v>
      </c>
    </row>
    <row r="100" spans="1:16" hidden="1">
      <c r="A100" s="1" t="s">
        <v>13</v>
      </c>
      <c r="B100" s="1" t="s">
        <v>38</v>
      </c>
      <c r="C100" s="1" t="s">
        <v>445</v>
      </c>
      <c r="D100" s="1" t="s">
        <v>8</v>
      </c>
      <c r="E100" s="1">
        <v>717</v>
      </c>
      <c r="F100" s="1">
        <v>61</v>
      </c>
      <c r="G100" s="1" t="s">
        <v>116</v>
      </c>
      <c r="H100" s="1">
        <v>42</v>
      </c>
      <c r="I100" s="1">
        <f t="shared" ref="I100:I118" si="9">(E100+F100+H100)</f>
        <v>820</v>
      </c>
      <c r="J100" s="1">
        <v>820</v>
      </c>
      <c r="K100" s="1">
        <v>733</v>
      </c>
      <c r="L100" s="1">
        <f>(K100-J100)</f>
        <v>-87</v>
      </c>
      <c r="M100" s="5">
        <f>ROUND(L100/J100,4)</f>
        <v>-0.1061</v>
      </c>
      <c r="N100" s="1" t="s">
        <v>407</v>
      </c>
      <c r="O100" s="1"/>
      <c r="P100" s="1" t="s">
        <v>452</v>
      </c>
    </row>
    <row r="101" spans="1:16" hidden="1">
      <c r="A101" s="1" t="s">
        <v>13</v>
      </c>
      <c r="B101" s="1" t="s">
        <v>38</v>
      </c>
      <c r="C101" s="1" t="s">
        <v>475</v>
      </c>
      <c r="D101" s="1" t="s">
        <v>8</v>
      </c>
      <c r="E101" s="1">
        <v>578</v>
      </c>
      <c r="F101" s="1">
        <v>80</v>
      </c>
      <c r="G101" s="1" t="s">
        <v>116</v>
      </c>
      <c r="H101" s="1">
        <v>34</v>
      </c>
      <c r="I101" s="1">
        <f t="shared" si="9"/>
        <v>692</v>
      </c>
      <c r="J101" s="1">
        <v>692</v>
      </c>
      <c r="K101" s="1">
        <v>685</v>
      </c>
      <c r="L101" s="1">
        <f>(K101-J101)</f>
        <v>-7</v>
      </c>
      <c r="M101" s="5">
        <f>ROUND(L101/J101,4)</f>
        <v>-1.01E-2</v>
      </c>
      <c r="N101" s="1" t="s">
        <v>686</v>
      </c>
      <c r="O101" s="1"/>
      <c r="P101" s="1" t="s">
        <v>452</v>
      </c>
    </row>
    <row r="102" spans="1:16" hidden="1">
      <c r="A102" s="1" t="s">
        <v>412</v>
      </c>
      <c r="B102" s="1" t="s">
        <v>413</v>
      </c>
      <c r="C102" s="1" t="s">
        <v>412</v>
      </c>
      <c r="D102" s="1" t="s">
        <v>8</v>
      </c>
      <c r="E102" s="1">
        <v>263</v>
      </c>
      <c r="F102" s="1">
        <v>8</v>
      </c>
      <c r="G102" s="1" t="s">
        <v>116</v>
      </c>
      <c r="H102" s="1">
        <v>15</v>
      </c>
      <c r="I102" s="1">
        <f t="shared" si="9"/>
        <v>286</v>
      </c>
      <c r="J102" s="1">
        <v>286</v>
      </c>
      <c r="K102" s="1">
        <v>270</v>
      </c>
      <c r="L102" s="1">
        <f>(K102-J102)</f>
        <v>-16</v>
      </c>
      <c r="M102" s="5">
        <f>ROUND(L102/J102,4)</f>
        <v>-5.5899999999999998E-2</v>
      </c>
      <c r="N102" s="1" t="s">
        <v>407</v>
      </c>
      <c r="O102" s="1"/>
      <c r="P102" s="1" t="s">
        <v>452</v>
      </c>
    </row>
    <row r="103" spans="1:16">
      <c r="A103" s="1" t="s">
        <v>13</v>
      </c>
      <c r="B103" s="1" t="s">
        <v>96</v>
      </c>
      <c r="C103" s="1" t="s">
        <v>759</v>
      </c>
      <c r="D103" s="1" t="s">
        <v>29</v>
      </c>
      <c r="E103" s="1">
        <v>1762</v>
      </c>
      <c r="F103" s="1">
        <v>63</v>
      </c>
      <c r="G103" s="1" t="s">
        <v>5</v>
      </c>
      <c r="H103" s="1">
        <v>40</v>
      </c>
      <c r="I103" s="1">
        <f t="shared" si="9"/>
        <v>1865</v>
      </c>
      <c r="J103" s="1"/>
      <c r="K103" s="1"/>
      <c r="L103" s="1"/>
      <c r="M103" s="5"/>
      <c r="N103" s="1"/>
      <c r="O103" s="1"/>
      <c r="P103" s="1" t="s">
        <v>459</v>
      </c>
    </row>
    <row r="104" spans="1:16">
      <c r="A104" s="1" t="s">
        <v>13</v>
      </c>
      <c r="B104" s="1" t="s">
        <v>38</v>
      </c>
      <c r="C104" s="1" t="s">
        <v>429</v>
      </c>
      <c r="D104" s="1" t="s">
        <v>8</v>
      </c>
      <c r="E104" s="1">
        <v>402</v>
      </c>
      <c r="F104" s="1">
        <v>200</v>
      </c>
      <c r="G104" s="1" t="s">
        <v>319</v>
      </c>
      <c r="H104" s="1">
        <v>65</v>
      </c>
      <c r="I104" s="1">
        <f t="shared" si="9"/>
        <v>667</v>
      </c>
      <c r="J104" s="1">
        <v>154</v>
      </c>
      <c r="K104" s="1">
        <v>130</v>
      </c>
      <c r="L104" s="1">
        <f>(K104-J104)</f>
        <v>-24</v>
      </c>
      <c r="M104" s="5">
        <f>ROUND(L104/J104,4)</f>
        <v>-0.15579999999999999</v>
      </c>
      <c r="N104" s="1" t="s">
        <v>704</v>
      </c>
      <c r="O104" s="1" t="s">
        <v>286</v>
      </c>
      <c r="P104" s="1" t="s">
        <v>459</v>
      </c>
    </row>
    <row r="105" spans="1:16">
      <c r="A105" s="1" t="s">
        <v>13</v>
      </c>
      <c r="B105" s="1" t="s">
        <v>38</v>
      </c>
      <c r="C105" s="1" t="s">
        <v>536</v>
      </c>
      <c r="D105" s="1" t="s">
        <v>343</v>
      </c>
      <c r="E105" s="1">
        <v>1054</v>
      </c>
      <c r="F105" s="1">
        <v>98</v>
      </c>
      <c r="G105" s="1" t="s">
        <v>319</v>
      </c>
      <c r="H105" s="1">
        <v>39</v>
      </c>
      <c r="I105" s="1">
        <f t="shared" si="9"/>
        <v>1191</v>
      </c>
      <c r="J105" s="1">
        <v>487</v>
      </c>
      <c r="K105" s="1">
        <v>387</v>
      </c>
      <c r="L105" s="1">
        <f>(K105-J105)</f>
        <v>-100</v>
      </c>
      <c r="M105" s="5">
        <f>ROUND(L105/J105,4)</f>
        <v>-0.20530000000000001</v>
      </c>
      <c r="N105" s="1" t="s">
        <v>724</v>
      </c>
      <c r="O105" s="1" t="s">
        <v>356</v>
      </c>
      <c r="P105" s="1" t="s">
        <v>458</v>
      </c>
    </row>
    <row r="106" spans="1:16">
      <c r="A106" s="1" t="s">
        <v>13</v>
      </c>
      <c r="B106" s="1" t="s">
        <v>38</v>
      </c>
      <c r="C106" s="1" t="s">
        <v>360</v>
      </c>
      <c r="D106" s="1" t="s">
        <v>343</v>
      </c>
      <c r="E106" s="1">
        <v>1221</v>
      </c>
      <c r="F106" s="1">
        <v>38</v>
      </c>
      <c r="G106" s="1" t="s">
        <v>5</v>
      </c>
      <c r="H106" s="1">
        <v>45</v>
      </c>
      <c r="I106" s="1">
        <f t="shared" si="9"/>
        <v>1304</v>
      </c>
      <c r="J106" s="1"/>
      <c r="K106" s="1"/>
      <c r="L106" s="1"/>
      <c r="M106" s="5"/>
      <c r="N106" s="1" t="s">
        <v>361</v>
      </c>
      <c r="O106" s="1" t="s">
        <v>286</v>
      </c>
      <c r="P106" s="1" t="s">
        <v>458</v>
      </c>
    </row>
    <row r="107" spans="1:16">
      <c r="A107" s="1" t="s">
        <v>363</v>
      </c>
      <c r="B107" s="1" t="s">
        <v>365</v>
      </c>
      <c r="C107" s="1" t="s">
        <v>364</v>
      </c>
      <c r="D107" s="1" t="s">
        <v>343</v>
      </c>
      <c r="E107" s="1">
        <v>733</v>
      </c>
      <c r="F107" s="1">
        <v>38</v>
      </c>
      <c r="G107" s="1" t="s">
        <v>5</v>
      </c>
      <c r="H107" s="1">
        <v>26</v>
      </c>
      <c r="I107" s="1">
        <f t="shared" si="9"/>
        <v>797</v>
      </c>
      <c r="J107" s="1"/>
      <c r="K107" s="1"/>
      <c r="L107" s="1"/>
      <c r="M107" s="5"/>
      <c r="N107" s="1"/>
      <c r="O107" s="1"/>
      <c r="P107" s="1" t="s">
        <v>458</v>
      </c>
    </row>
    <row r="108" spans="1:16" hidden="1">
      <c r="A108" s="1" t="s">
        <v>507</v>
      </c>
      <c r="B108" s="1"/>
      <c r="C108" s="1" t="s">
        <v>504</v>
      </c>
      <c r="D108" s="1" t="s">
        <v>343</v>
      </c>
      <c r="E108" s="1">
        <v>1486</v>
      </c>
      <c r="F108" s="1"/>
      <c r="G108" s="1" t="s">
        <v>116</v>
      </c>
      <c r="H108" s="1"/>
      <c r="I108" s="1">
        <f t="shared" si="9"/>
        <v>1486</v>
      </c>
      <c r="J108" s="1">
        <v>1486</v>
      </c>
      <c r="K108" s="1">
        <v>2117</v>
      </c>
      <c r="L108" s="1">
        <f>(K108-J108)</f>
        <v>631</v>
      </c>
      <c r="M108" s="5">
        <f>ROUND(L108/J108,4)</f>
        <v>0.42459999999999998</v>
      </c>
      <c r="N108" s="1" t="s">
        <v>505</v>
      </c>
      <c r="O108" s="1"/>
      <c r="P108" s="1"/>
    </row>
    <row r="109" spans="1:16">
      <c r="A109" s="1" t="s">
        <v>508</v>
      </c>
      <c r="B109" s="1" t="s">
        <v>195</v>
      </c>
      <c r="C109" s="1" t="s">
        <v>509</v>
      </c>
      <c r="D109" s="1" t="s">
        <v>343</v>
      </c>
      <c r="E109" s="1">
        <v>544</v>
      </c>
      <c r="F109" s="1"/>
      <c r="G109" s="1" t="s">
        <v>319</v>
      </c>
      <c r="H109" s="1"/>
      <c r="I109" s="1">
        <f t="shared" si="9"/>
        <v>544</v>
      </c>
      <c r="J109" s="1"/>
      <c r="K109" s="1"/>
      <c r="L109" s="1"/>
      <c r="M109" s="5"/>
      <c r="N109" s="1" t="s">
        <v>510</v>
      </c>
      <c r="O109" s="1"/>
      <c r="P109" s="1"/>
    </row>
    <row r="110" spans="1:16">
      <c r="A110" s="1" t="s">
        <v>13</v>
      </c>
      <c r="B110" s="1" t="s">
        <v>38</v>
      </c>
      <c r="C110" s="1" t="s">
        <v>533</v>
      </c>
      <c r="D110" s="1" t="s">
        <v>8</v>
      </c>
      <c r="E110" s="1">
        <v>537</v>
      </c>
      <c r="F110" s="1">
        <v>126</v>
      </c>
      <c r="G110" s="1" t="s">
        <v>5</v>
      </c>
      <c r="H110" s="1">
        <v>65</v>
      </c>
      <c r="I110" s="1">
        <f t="shared" si="9"/>
        <v>728</v>
      </c>
      <c r="J110" s="1"/>
      <c r="K110" s="1"/>
      <c r="L110" s="1"/>
      <c r="M110" s="5"/>
      <c r="N110" s="1" t="s">
        <v>407</v>
      </c>
      <c r="O110" s="1"/>
      <c r="P110" s="1" t="s">
        <v>476</v>
      </c>
    </row>
    <row r="111" spans="1:16">
      <c r="A111" s="1" t="s">
        <v>13</v>
      </c>
      <c r="B111" s="1" t="s">
        <v>38</v>
      </c>
      <c r="C111" s="1" t="s">
        <v>410</v>
      </c>
      <c r="D111" s="1" t="s">
        <v>8</v>
      </c>
      <c r="E111" s="1">
        <v>167</v>
      </c>
      <c r="F111" s="1">
        <v>11</v>
      </c>
      <c r="G111" s="1" t="s">
        <v>5</v>
      </c>
      <c r="H111" s="1">
        <v>20</v>
      </c>
      <c r="I111" s="1">
        <f t="shared" si="9"/>
        <v>198</v>
      </c>
      <c r="J111" s="1"/>
      <c r="K111" s="1"/>
      <c r="L111" s="1"/>
      <c r="M111" s="5"/>
      <c r="N111" s="1" t="s">
        <v>407</v>
      </c>
      <c r="O111" s="1"/>
      <c r="P111" s="1" t="s">
        <v>476</v>
      </c>
    </row>
    <row r="112" spans="1:16">
      <c r="A112" s="1" t="s">
        <v>19</v>
      </c>
      <c r="B112" s="1" t="s">
        <v>415</v>
      </c>
      <c r="C112" s="1" t="s">
        <v>416</v>
      </c>
      <c r="D112" s="1" t="s">
        <v>8</v>
      </c>
      <c r="E112" s="1">
        <v>608</v>
      </c>
      <c r="F112" s="1">
        <v>32</v>
      </c>
      <c r="G112" s="1" t="s">
        <v>5</v>
      </c>
      <c r="H112" s="1">
        <v>74</v>
      </c>
      <c r="I112" s="1">
        <f t="shared" si="9"/>
        <v>714</v>
      </c>
      <c r="J112" s="1"/>
      <c r="K112" s="1"/>
      <c r="L112" s="1"/>
      <c r="M112" s="5"/>
      <c r="N112" s="1" t="s">
        <v>407</v>
      </c>
      <c r="O112" s="1"/>
      <c r="P112" s="1" t="s">
        <v>476</v>
      </c>
    </row>
    <row r="113" spans="1:16">
      <c r="A113" s="1" t="s">
        <v>412</v>
      </c>
      <c r="B113" s="1" t="s">
        <v>413</v>
      </c>
      <c r="C113" s="1" t="s">
        <v>412</v>
      </c>
      <c r="D113" s="1" t="s">
        <v>8</v>
      </c>
      <c r="E113" s="1">
        <v>280</v>
      </c>
      <c r="F113" s="1">
        <v>9</v>
      </c>
      <c r="G113" s="1" t="s">
        <v>5</v>
      </c>
      <c r="H113" s="1">
        <v>34</v>
      </c>
      <c r="I113" s="1">
        <f t="shared" si="9"/>
        <v>323</v>
      </c>
      <c r="J113" s="1"/>
      <c r="K113" s="1"/>
      <c r="L113" s="1"/>
      <c r="M113" s="5"/>
      <c r="N113" s="1" t="s">
        <v>407</v>
      </c>
      <c r="O113" s="1"/>
      <c r="P113" s="1" t="s">
        <v>476</v>
      </c>
    </row>
    <row r="114" spans="1:16">
      <c r="A114" s="1" t="s">
        <v>13</v>
      </c>
      <c r="B114" s="1" t="s">
        <v>38</v>
      </c>
      <c r="C114" s="1" t="s">
        <v>52</v>
      </c>
      <c r="D114" s="1" t="s">
        <v>8</v>
      </c>
      <c r="E114" s="1">
        <v>506</v>
      </c>
      <c r="F114" s="1">
        <v>104</v>
      </c>
      <c r="G114" s="1" t="s">
        <v>5</v>
      </c>
      <c r="H114" s="1">
        <v>21</v>
      </c>
      <c r="I114" s="1">
        <f t="shared" si="9"/>
        <v>631</v>
      </c>
      <c r="J114" s="1"/>
      <c r="K114" s="1"/>
      <c r="L114" s="1"/>
      <c r="M114" s="5"/>
      <c r="N114" s="1"/>
      <c r="O114" s="1"/>
      <c r="P114" s="1" t="s">
        <v>478</v>
      </c>
    </row>
    <row r="115" spans="1:16">
      <c r="A115" s="1" t="s">
        <v>13</v>
      </c>
      <c r="B115" s="1" t="s">
        <v>38</v>
      </c>
      <c r="C115" s="1" t="s">
        <v>409</v>
      </c>
      <c r="D115" s="1" t="s">
        <v>29</v>
      </c>
      <c r="E115" s="1">
        <v>2159</v>
      </c>
      <c r="F115" s="1">
        <v>109</v>
      </c>
      <c r="G115" s="1" t="s">
        <v>5</v>
      </c>
      <c r="H115" s="1">
        <v>87</v>
      </c>
      <c r="I115" s="1">
        <f t="shared" si="9"/>
        <v>2355</v>
      </c>
      <c r="J115" s="1">
        <v>50</v>
      </c>
      <c r="K115" s="1">
        <v>50</v>
      </c>
      <c r="L115" s="1">
        <f>(K115-J115)</f>
        <v>0</v>
      </c>
      <c r="M115" s="5">
        <f>ROUND(L115/J115,4)</f>
        <v>0</v>
      </c>
      <c r="N115" s="1" t="s">
        <v>1175</v>
      </c>
      <c r="O115" s="1" t="s">
        <v>286</v>
      </c>
      <c r="P115" s="1" t="s">
        <v>478</v>
      </c>
    </row>
    <row r="116" spans="1:16" hidden="1">
      <c r="A116" s="1" t="s">
        <v>13</v>
      </c>
      <c r="B116" s="1" t="s">
        <v>499</v>
      </c>
      <c r="C116" s="1" t="s">
        <v>500</v>
      </c>
      <c r="D116" s="1" t="s">
        <v>343</v>
      </c>
      <c r="E116" s="1">
        <v>780</v>
      </c>
      <c r="F116" s="1"/>
      <c r="G116" s="1" t="s">
        <v>116</v>
      </c>
      <c r="H116" s="1"/>
      <c r="I116" s="1">
        <f t="shared" si="9"/>
        <v>780</v>
      </c>
      <c r="J116" s="1">
        <v>780</v>
      </c>
      <c r="K116" s="1">
        <v>1458</v>
      </c>
      <c r="L116" s="1">
        <f>(K116-J116)</f>
        <v>678</v>
      </c>
      <c r="M116" s="5">
        <f>ROUND(L116/J116,4)</f>
        <v>0.86919999999999997</v>
      </c>
      <c r="N116" s="1" t="s">
        <v>498</v>
      </c>
      <c r="O116" s="1"/>
      <c r="P116" s="1"/>
    </row>
    <row r="117" spans="1:16" hidden="1">
      <c r="A117" s="1" t="s">
        <v>13</v>
      </c>
      <c r="B117" s="1" t="s">
        <v>38</v>
      </c>
      <c r="C117" s="1" t="s">
        <v>480</v>
      </c>
      <c r="D117" s="1" t="s">
        <v>343</v>
      </c>
      <c r="E117" s="1">
        <v>604</v>
      </c>
      <c r="F117" s="1">
        <v>61</v>
      </c>
      <c r="G117" s="1" t="s">
        <v>116</v>
      </c>
      <c r="H117" s="1"/>
      <c r="I117" s="1">
        <f t="shared" si="9"/>
        <v>665</v>
      </c>
      <c r="J117" s="1">
        <v>665</v>
      </c>
      <c r="K117" s="1">
        <v>630</v>
      </c>
      <c r="L117" s="1">
        <f>(K117-J117)</f>
        <v>-35</v>
      </c>
      <c r="M117" s="5">
        <f>ROUND(L117/J117,4)</f>
        <v>-5.2600000000000001E-2</v>
      </c>
      <c r="N117" s="1" t="s">
        <v>537</v>
      </c>
      <c r="O117" s="1"/>
      <c r="P117" s="1"/>
    </row>
    <row r="118" spans="1:16">
      <c r="A118" s="1" t="s">
        <v>13</v>
      </c>
      <c r="B118" s="1" t="s">
        <v>38</v>
      </c>
      <c r="C118" s="1" t="s">
        <v>368</v>
      </c>
      <c r="D118" s="1" t="s">
        <v>29</v>
      </c>
      <c r="E118" s="1">
        <v>917</v>
      </c>
      <c r="F118" s="1">
        <v>70</v>
      </c>
      <c r="G118" s="1" t="s">
        <v>5</v>
      </c>
      <c r="H118" s="1">
        <v>60</v>
      </c>
      <c r="I118" s="1">
        <f t="shared" si="9"/>
        <v>1047</v>
      </c>
      <c r="J118" s="1"/>
      <c r="K118" s="1"/>
      <c r="L118" s="1"/>
      <c r="M118" s="5"/>
      <c r="N118" s="1" t="s">
        <v>369</v>
      </c>
      <c r="O118" s="1" t="s">
        <v>382</v>
      </c>
      <c r="P118" s="1" t="s">
        <v>477</v>
      </c>
    </row>
    <row r="119" spans="1:16">
      <c r="A119" s="1" t="s">
        <v>13</v>
      </c>
      <c r="B119" s="1" t="s">
        <v>38</v>
      </c>
      <c r="C119" s="1" t="s">
        <v>151</v>
      </c>
      <c r="D119" s="1" t="s">
        <v>29</v>
      </c>
      <c r="E119" s="1">
        <v>179</v>
      </c>
      <c r="F119" s="1">
        <v>33</v>
      </c>
      <c r="G119" s="1" t="s">
        <v>5</v>
      </c>
      <c r="H119" s="1">
        <v>12</v>
      </c>
      <c r="I119" s="1">
        <f t="shared" ref="I119:I124" si="10">(E119+F119+H119)</f>
        <v>224</v>
      </c>
      <c r="J119" s="1"/>
      <c r="K119" s="1"/>
      <c r="L119" s="1"/>
      <c r="M119" s="5"/>
      <c r="N119" s="1" t="s">
        <v>376</v>
      </c>
      <c r="O119" s="1"/>
      <c r="P119" s="1" t="s">
        <v>477</v>
      </c>
    </row>
    <row r="120" spans="1:16" hidden="1">
      <c r="A120" s="1" t="s">
        <v>13</v>
      </c>
      <c r="B120" s="1" t="s">
        <v>38</v>
      </c>
      <c r="C120" s="1" t="s">
        <v>436</v>
      </c>
      <c r="D120" s="1" t="s">
        <v>29</v>
      </c>
      <c r="E120" s="1">
        <v>380</v>
      </c>
      <c r="F120" s="1">
        <v>46</v>
      </c>
      <c r="G120" s="1" t="s">
        <v>116</v>
      </c>
      <c r="H120" s="1">
        <v>25</v>
      </c>
      <c r="I120" s="1">
        <f t="shared" si="10"/>
        <v>451</v>
      </c>
      <c r="J120" s="1">
        <v>451</v>
      </c>
      <c r="K120" s="1">
        <v>495</v>
      </c>
      <c r="L120" s="1">
        <f>(K120-J120)</f>
        <v>44</v>
      </c>
      <c r="M120" s="5">
        <f>ROUND(L120/J120,4)</f>
        <v>9.7600000000000006E-2</v>
      </c>
      <c r="N120" s="1" t="s">
        <v>437</v>
      </c>
      <c r="O120" s="1"/>
      <c r="P120" s="1" t="s">
        <v>477</v>
      </c>
    </row>
    <row r="121" spans="1:16">
      <c r="A121" s="1" t="s">
        <v>13</v>
      </c>
      <c r="B121" s="1" t="s">
        <v>38</v>
      </c>
      <c r="C121" s="1" t="s">
        <v>446</v>
      </c>
      <c r="D121" s="1" t="s">
        <v>343</v>
      </c>
      <c r="E121" s="1">
        <v>164</v>
      </c>
      <c r="F121" s="1">
        <v>38</v>
      </c>
      <c r="G121" s="1" t="s">
        <v>5</v>
      </c>
      <c r="H121" s="1">
        <v>11</v>
      </c>
      <c r="I121" s="1">
        <f t="shared" si="10"/>
        <v>213</v>
      </c>
      <c r="J121" s="1"/>
      <c r="K121" s="1"/>
      <c r="L121" s="1"/>
      <c r="M121" s="5"/>
      <c r="N121" s="1"/>
      <c r="O121" s="1" t="s">
        <v>286</v>
      </c>
      <c r="P121" s="1" t="s">
        <v>477</v>
      </c>
    </row>
    <row r="122" spans="1:16">
      <c r="A122" s="1" t="s">
        <v>330</v>
      </c>
      <c r="B122" s="1" t="s">
        <v>331</v>
      </c>
      <c r="C122" s="1" t="s">
        <v>394</v>
      </c>
      <c r="D122" s="1" t="s">
        <v>29</v>
      </c>
      <c r="E122" s="1">
        <v>694</v>
      </c>
      <c r="F122" s="1">
        <v>38</v>
      </c>
      <c r="G122" s="1" t="s">
        <v>319</v>
      </c>
      <c r="H122" s="1">
        <v>29</v>
      </c>
      <c r="I122" s="1">
        <f t="shared" si="10"/>
        <v>761</v>
      </c>
      <c r="J122" s="1"/>
      <c r="K122" s="1"/>
      <c r="L122" s="1"/>
      <c r="M122" s="5"/>
      <c r="N122" s="1" t="s">
        <v>407</v>
      </c>
      <c r="O122" s="1" t="s">
        <v>286</v>
      </c>
      <c r="P122" s="1" t="s">
        <v>539</v>
      </c>
    </row>
    <row r="123" spans="1:16" hidden="1">
      <c r="A123" s="1" t="s">
        <v>13</v>
      </c>
      <c r="B123" s="1" t="s">
        <v>38</v>
      </c>
      <c r="C123" s="1" t="s">
        <v>436</v>
      </c>
      <c r="D123" s="1" t="s">
        <v>29</v>
      </c>
      <c r="E123" s="1">
        <v>363</v>
      </c>
      <c r="F123" s="1">
        <v>39</v>
      </c>
      <c r="G123" s="1" t="s">
        <v>116</v>
      </c>
      <c r="H123" s="1">
        <v>15</v>
      </c>
      <c r="I123" s="1">
        <f t="shared" si="10"/>
        <v>417</v>
      </c>
      <c r="J123" s="1">
        <v>417</v>
      </c>
      <c r="K123" s="1">
        <v>660</v>
      </c>
      <c r="L123" s="1">
        <f>(K123-J123)</f>
        <v>243</v>
      </c>
      <c r="M123" s="5">
        <f>ROUND(L123/J123,4)</f>
        <v>0.5827</v>
      </c>
      <c r="N123" s="1" t="s">
        <v>432</v>
      </c>
      <c r="O123" s="1"/>
      <c r="P123" s="1" t="s">
        <v>539</v>
      </c>
    </row>
    <row r="124" spans="1:16" hidden="1">
      <c r="A124" s="1" t="s">
        <v>13</v>
      </c>
      <c r="B124" s="1" t="s">
        <v>38</v>
      </c>
      <c r="C124" s="1" t="s">
        <v>417</v>
      </c>
      <c r="D124" s="1" t="s">
        <v>29</v>
      </c>
      <c r="E124" s="1">
        <v>1526</v>
      </c>
      <c r="F124" s="1">
        <v>101</v>
      </c>
      <c r="G124" s="1" t="s">
        <v>116</v>
      </c>
      <c r="H124" s="1">
        <v>63</v>
      </c>
      <c r="I124" s="1">
        <f t="shared" si="10"/>
        <v>1690</v>
      </c>
      <c r="J124" s="1">
        <v>1690</v>
      </c>
      <c r="K124" s="1">
        <v>1758</v>
      </c>
      <c r="L124" s="1">
        <f>(K124-J124)</f>
        <v>68</v>
      </c>
      <c r="M124" s="5">
        <f>ROUND(L124/J124,4)</f>
        <v>4.02E-2</v>
      </c>
      <c r="N124" s="1" t="s">
        <v>694</v>
      </c>
      <c r="O124" s="1"/>
      <c r="P124" s="1" t="s">
        <v>539</v>
      </c>
    </row>
    <row r="125" spans="1:16" hidden="1">
      <c r="A125" s="1" t="s">
        <v>372</v>
      </c>
      <c r="B125" s="1"/>
      <c r="C125" s="1" t="s">
        <v>371</v>
      </c>
      <c r="D125" s="1" t="s">
        <v>343</v>
      </c>
      <c r="E125" s="1">
        <v>729</v>
      </c>
      <c r="F125" s="1">
        <v>56</v>
      </c>
      <c r="G125" s="1" t="s">
        <v>116</v>
      </c>
      <c r="H125" s="1">
        <v>22</v>
      </c>
      <c r="I125" s="1">
        <f t="shared" ref="I125:I168" si="11">(E125+F125+H125)</f>
        <v>807</v>
      </c>
      <c r="J125" s="1">
        <v>807</v>
      </c>
      <c r="K125" s="1">
        <v>923</v>
      </c>
      <c r="L125" s="1">
        <f>(K125-J125)</f>
        <v>116</v>
      </c>
      <c r="M125" s="5">
        <f>ROUND(L125/J125,4)</f>
        <v>0.14369999999999999</v>
      </c>
      <c r="N125" s="1"/>
      <c r="O125" s="1"/>
      <c r="P125" s="1" t="s">
        <v>496</v>
      </c>
    </row>
    <row r="126" spans="1:16">
      <c r="A126" s="1" t="s">
        <v>372</v>
      </c>
      <c r="B126" s="1"/>
      <c r="C126" s="1" t="s">
        <v>495</v>
      </c>
      <c r="D126" s="1" t="s">
        <v>343</v>
      </c>
      <c r="E126" s="1">
        <v>662</v>
      </c>
      <c r="F126" s="1">
        <v>59</v>
      </c>
      <c r="G126" s="1" t="s">
        <v>5</v>
      </c>
      <c r="H126" s="1">
        <v>20</v>
      </c>
      <c r="I126" s="1">
        <f t="shared" si="11"/>
        <v>741</v>
      </c>
      <c r="J126" s="1"/>
      <c r="K126" s="1"/>
      <c r="L126" s="1"/>
      <c r="M126" s="5"/>
      <c r="N126" s="1"/>
      <c r="O126" s="1"/>
      <c r="P126" s="1" t="s">
        <v>496</v>
      </c>
    </row>
    <row r="127" spans="1:16" hidden="1">
      <c r="A127" s="1" t="s">
        <v>13</v>
      </c>
      <c r="B127" s="1" t="s">
        <v>38</v>
      </c>
      <c r="C127" s="1" t="s">
        <v>448</v>
      </c>
      <c r="D127" s="1" t="s">
        <v>8</v>
      </c>
      <c r="E127" s="1">
        <v>2108</v>
      </c>
      <c r="F127" s="1">
        <v>39</v>
      </c>
      <c r="G127" s="1" t="s">
        <v>116</v>
      </c>
      <c r="H127" s="1">
        <v>65</v>
      </c>
      <c r="I127" s="1">
        <f t="shared" si="11"/>
        <v>2212</v>
      </c>
      <c r="J127" s="1">
        <v>2212</v>
      </c>
      <c r="K127" s="1">
        <v>2684</v>
      </c>
      <c r="L127" s="1">
        <f>(K127-J127)</f>
        <v>472</v>
      </c>
      <c r="M127" s="5">
        <f>ROUND(L127/J127,4)</f>
        <v>0.21340000000000001</v>
      </c>
      <c r="N127" s="1"/>
      <c r="O127" s="1"/>
      <c r="P127" s="1" t="s">
        <v>496</v>
      </c>
    </row>
    <row r="128" spans="1:16" hidden="1">
      <c r="A128" s="1" t="s">
        <v>13</v>
      </c>
      <c r="B128" s="1" t="s">
        <v>38</v>
      </c>
      <c r="C128" s="1" t="s">
        <v>448</v>
      </c>
      <c r="D128" s="1" t="s">
        <v>29</v>
      </c>
      <c r="E128" s="1">
        <v>1073</v>
      </c>
      <c r="F128" s="1">
        <v>68</v>
      </c>
      <c r="G128" s="1" t="s">
        <v>116</v>
      </c>
      <c r="H128" s="1">
        <v>34</v>
      </c>
      <c r="I128" s="1">
        <f t="shared" si="11"/>
        <v>1175</v>
      </c>
      <c r="J128" s="1">
        <v>1175</v>
      </c>
      <c r="K128" s="1">
        <v>1823</v>
      </c>
      <c r="L128" s="1">
        <f>(K128-J128)</f>
        <v>648</v>
      </c>
      <c r="M128" s="5">
        <f>ROUND(L128/J128,4)</f>
        <v>0.55149999999999999</v>
      </c>
      <c r="N128" s="1" t="s">
        <v>453</v>
      </c>
      <c r="O128" s="1"/>
      <c r="P128" s="1" t="s">
        <v>496</v>
      </c>
    </row>
    <row r="129" spans="1:16" hidden="1">
      <c r="A129" s="1" t="s">
        <v>13</v>
      </c>
      <c r="B129" s="1" t="s">
        <v>38</v>
      </c>
      <c r="C129" s="1" t="s">
        <v>37</v>
      </c>
      <c r="D129" s="1" t="s">
        <v>343</v>
      </c>
      <c r="E129" s="1">
        <v>266</v>
      </c>
      <c r="F129" s="1">
        <v>34</v>
      </c>
      <c r="G129" s="1" t="s">
        <v>116</v>
      </c>
      <c r="H129" s="1">
        <v>12</v>
      </c>
      <c r="I129" s="1">
        <f t="shared" si="11"/>
        <v>312</v>
      </c>
      <c r="J129" s="1">
        <v>312</v>
      </c>
      <c r="K129" s="1">
        <v>377</v>
      </c>
      <c r="L129" s="1">
        <f>(K129-J129)</f>
        <v>65</v>
      </c>
      <c r="M129" s="5">
        <f>ROUND(L129/J129,4)</f>
        <v>0.20830000000000001</v>
      </c>
      <c r="N129" s="1"/>
      <c r="O129" s="1"/>
      <c r="P129" s="1" t="s">
        <v>497</v>
      </c>
    </row>
    <row r="130" spans="1:16" hidden="1">
      <c r="A130" s="1" t="s">
        <v>13</v>
      </c>
      <c r="B130" s="1" t="s">
        <v>38</v>
      </c>
      <c r="C130" s="1" t="s">
        <v>37</v>
      </c>
      <c r="D130" s="1" t="s">
        <v>343</v>
      </c>
      <c r="E130" s="1">
        <v>266</v>
      </c>
      <c r="F130" s="1">
        <v>36</v>
      </c>
      <c r="G130" s="1" t="s">
        <v>116</v>
      </c>
      <c r="H130" s="1">
        <v>12</v>
      </c>
      <c r="I130" s="1">
        <f t="shared" si="11"/>
        <v>314</v>
      </c>
      <c r="J130" s="1">
        <v>314</v>
      </c>
      <c r="K130" s="1">
        <v>370</v>
      </c>
      <c r="L130" s="1">
        <f>(K130-J130)</f>
        <v>56</v>
      </c>
      <c r="M130" s="5">
        <f>ROUND(L130/J130,4)</f>
        <v>0.17829999999999999</v>
      </c>
      <c r="N130" s="1"/>
      <c r="O130" s="1"/>
      <c r="P130" s="1" t="s">
        <v>497</v>
      </c>
    </row>
    <row r="131" spans="1:16" hidden="1">
      <c r="A131" s="1" t="s">
        <v>13</v>
      </c>
      <c r="B131" s="1" t="s">
        <v>96</v>
      </c>
      <c r="C131" s="1" t="s">
        <v>475</v>
      </c>
      <c r="D131" s="1" t="s">
        <v>343</v>
      </c>
      <c r="E131" s="1">
        <v>1414</v>
      </c>
      <c r="F131" s="1">
        <v>111</v>
      </c>
      <c r="G131" s="1" t="s">
        <v>116</v>
      </c>
      <c r="H131" s="1">
        <v>66</v>
      </c>
      <c r="I131" s="1">
        <f t="shared" si="11"/>
        <v>1591</v>
      </c>
      <c r="J131" s="1">
        <v>1591</v>
      </c>
      <c r="K131" s="1">
        <v>1500</v>
      </c>
      <c r="L131" s="1">
        <f>(K131-J131)</f>
        <v>-91</v>
      </c>
      <c r="M131" s="5">
        <f>ROUND(L131/J131,4)</f>
        <v>-5.7200000000000001E-2</v>
      </c>
      <c r="N131" s="1" t="s">
        <v>24</v>
      </c>
      <c r="O131" s="1"/>
      <c r="P131" s="1" t="s">
        <v>497</v>
      </c>
    </row>
    <row r="132" spans="1:16">
      <c r="A132" s="1" t="s">
        <v>330</v>
      </c>
      <c r="B132" s="1" t="s">
        <v>331</v>
      </c>
      <c r="C132" s="1" t="s">
        <v>394</v>
      </c>
      <c r="D132" s="1" t="s">
        <v>8</v>
      </c>
      <c r="E132" s="1">
        <v>856</v>
      </c>
      <c r="F132" s="1">
        <v>63</v>
      </c>
      <c r="G132" s="1" t="s">
        <v>319</v>
      </c>
      <c r="H132" s="1">
        <v>42</v>
      </c>
      <c r="I132" s="1">
        <f t="shared" si="11"/>
        <v>961</v>
      </c>
      <c r="J132" s="1"/>
      <c r="K132" s="1"/>
      <c r="L132" s="1"/>
      <c r="M132" s="5"/>
      <c r="N132" s="1"/>
      <c r="O132" s="1"/>
      <c r="P132" s="1" t="s">
        <v>535</v>
      </c>
    </row>
    <row r="133" spans="1:16">
      <c r="A133" s="1" t="s">
        <v>13</v>
      </c>
      <c r="B133" s="1" t="s">
        <v>38</v>
      </c>
      <c r="C133" s="1" t="s">
        <v>534</v>
      </c>
      <c r="D133" s="1" t="s">
        <v>29</v>
      </c>
      <c r="E133" s="1">
        <v>1102</v>
      </c>
      <c r="F133" s="1">
        <v>72</v>
      </c>
      <c r="G133" s="1" t="s">
        <v>5</v>
      </c>
      <c r="H133" s="1">
        <v>54</v>
      </c>
      <c r="I133" s="1">
        <f t="shared" si="11"/>
        <v>1228</v>
      </c>
      <c r="J133" s="1"/>
      <c r="K133" s="1"/>
      <c r="L133" s="1"/>
      <c r="M133" s="5"/>
      <c r="N133" s="1" t="s">
        <v>432</v>
      </c>
      <c r="O133" s="1" t="s">
        <v>382</v>
      </c>
      <c r="P133" s="1" t="s">
        <v>535</v>
      </c>
    </row>
    <row r="134" spans="1:16">
      <c r="A134" s="1" t="s">
        <v>13</v>
      </c>
      <c r="B134" s="1" t="s">
        <v>38</v>
      </c>
      <c r="C134" s="1" t="s">
        <v>431</v>
      </c>
      <c r="D134" s="1" t="s">
        <v>8</v>
      </c>
      <c r="E134" s="1">
        <v>357</v>
      </c>
      <c r="F134" s="1">
        <v>58</v>
      </c>
      <c r="G134" s="1" t="s">
        <v>5</v>
      </c>
      <c r="H134" s="1">
        <v>18</v>
      </c>
      <c r="I134" s="1">
        <f t="shared" si="11"/>
        <v>433</v>
      </c>
      <c r="J134" s="1"/>
      <c r="K134" s="1"/>
      <c r="L134" s="1"/>
      <c r="M134" s="5"/>
      <c r="N134" s="1"/>
      <c r="O134" s="1"/>
      <c r="P134" s="1" t="s">
        <v>535</v>
      </c>
    </row>
    <row r="135" spans="1:16">
      <c r="A135" s="1" t="s">
        <v>13</v>
      </c>
      <c r="B135" s="1" t="s">
        <v>38</v>
      </c>
      <c r="C135" s="1" t="s">
        <v>486</v>
      </c>
      <c r="D135" s="1" t="s">
        <v>343</v>
      </c>
      <c r="E135" s="1">
        <v>251</v>
      </c>
      <c r="F135" s="1">
        <v>25</v>
      </c>
      <c r="G135" s="1" t="s">
        <v>5</v>
      </c>
      <c r="H135" s="1">
        <v>12</v>
      </c>
      <c r="I135" s="1">
        <f t="shared" si="11"/>
        <v>288</v>
      </c>
      <c r="J135" s="1"/>
      <c r="K135" s="1"/>
      <c r="L135" s="1"/>
      <c r="M135" s="5"/>
      <c r="N135" s="1"/>
      <c r="O135" s="1"/>
      <c r="P135" s="1" t="s">
        <v>535</v>
      </c>
    </row>
    <row r="136" spans="1:16" hidden="1">
      <c r="A136" s="1" t="s">
        <v>13</v>
      </c>
      <c r="B136" s="1" t="s">
        <v>96</v>
      </c>
      <c r="C136" s="1" t="s">
        <v>414</v>
      </c>
      <c r="D136" s="1" t="s">
        <v>343</v>
      </c>
      <c r="E136" s="1">
        <v>1290</v>
      </c>
      <c r="F136" s="1">
        <v>101</v>
      </c>
      <c r="G136" s="1" t="s">
        <v>116</v>
      </c>
      <c r="H136" s="1">
        <v>42</v>
      </c>
      <c r="I136" s="1">
        <f t="shared" si="11"/>
        <v>1433</v>
      </c>
      <c r="J136" s="1">
        <v>1433</v>
      </c>
      <c r="K136" s="1">
        <v>1640</v>
      </c>
      <c r="L136" s="1">
        <f>(K136-J136)</f>
        <v>207</v>
      </c>
      <c r="M136" s="5">
        <f>ROUND(L136/J136,4)</f>
        <v>0.14449999999999999</v>
      </c>
      <c r="N136" s="1" t="s">
        <v>407</v>
      </c>
      <c r="O136" s="1"/>
      <c r="P136" s="1" t="s">
        <v>538</v>
      </c>
    </row>
    <row r="137" spans="1:16" hidden="1">
      <c r="A137" s="1" t="s">
        <v>13</v>
      </c>
      <c r="B137" s="1" t="s">
        <v>38</v>
      </c>
      <c r="C137" s="1" t="s">
        <v>420</v>
      </c>
      <c r="D137" s="1" t="s">
        <v>29</v>
      </c>
      <c r="E137" s="1">
        <v>780</v>
      </c>
      <c r="F137" s="1">
        <v>44</v>
      </c>
      <c r="G137" s="1" t="s">
        <v>116</v>
      </c>
      <c r="H137" s="1">
        <v>25</v>
      </c>
      <c r="I137" s="1">
        <f t="shared" si="11"/>
        <v>849</v>
      </c>
      <c r="J137" s="1">
        <v>849</v>
      </c>
      <c r="K137" s="1">
        <v>927</v>
      </c>
      <c r="L137" s="1">
        <f>(K137-J137)</f>
        <v>78</v>
      </c>
      <c r="M137" s="5">
        <f>ROUND(L137/J137,4)</f>
        <v>9.1899999999999996E-2</v>
      </c>
      <c r="N137" s="1" t="s">
        <v>421</v>
      </c>
      <c r="O137" s="1"/>
      <c r="P137" s="1" t="s">
        <v>538</v>
      </c>
    </row>
    <row r="138" spans="1:16">
      <c r="A138" s="1" t="s">
        <v>13</v>
      </c>
      <c r="B138" s="1" t="s">
        <v>38</v>
      </c>
      <c r="C138" s="1" t="s">
        <v>638</v>
      </c>
      <c r="D138" s="1" t="s">
        <v>29</v>
      </c>
      <c r="E138" s="1">
        <v>570</v>
      </c>
      <c r="F138" s="1">
        <v>20</v>
      </c>
      <c r="G138" s="1" t="s">
        <v>116</v>
      </c>
      <c r="H138" s="1">
        <v>19</v>
      </c>
      <c r="I138" s="1">
        <f t="shared" si="11"/>
        <v>609</v>
      </c>
      <c r="J138" s="1">
        <v>609</v>
      </c>
      <c r="K138" s="1">
        <v>566</v>
      </c>
      <c r="L138" s="1">
        <f>(K138-J138)</f>
        <v>-43</v>
      </c>
      <c r="M138" s="5">
        <f>ROUND(L138/J138,4)</f>
        <v>-7.0599999999999996E-2</v>
      </c>
      <c r="N138" s="1" t="s">
        <v>422</v>
      </c>
      <c r="O138" s="1"/>
      <c r="P138" s="1" t="s">
        <v>538</v>
      </c>
    </row>
    <row r="139" spans="1:16" hidden="1">
      <c r="A139" s="1" t="s">
        <v>13</v>
      </c>
      <c r="B139" s="1" t="s">
        <v>38</v>
      </c>
      <c r="C139" s="1" t="s">
        <v>355</v>
      </c>
      <c r="D139" s="1" t="s">
        <v>29</v>
      </c>
      <c r="E139" s="1">
        <v>684</v>
      </c>
      <c r="F139" s="1">
        <v>32</v>
      </c>
      <c r="G139" s="1" t="s">
        <v>116</v>
      </c>
      <c r="H139" s="1">
        <v>22</v>
      </c>
      <c r="I139" s="1">
        <f t="shared" si="11"/>
        <v>738</v>
      </c>
      <c r="J139" s="1">
        <v>738</v>
      </c>
      <c r="K139" s="1">
        <v>725</v>
      </c>
      <c r="L139" s="1">
        <f>(K139-J139)</f>
        <v>-13</v>
      </c>
      <c r="M139" s="5">
        <f>ROUND(L139/J139,4)</f>
        <v>-1.7600000000000001E-2</v>
      </c>
      <c r="N139" s="1" t="s">
        <v>447</v>
      </c>
      <c r="O139" s="1"/>
      <c r="P139" s="1" t="s">
        <v>538</v>
      </c>
    </row>
    <row r="140" spans="1:16" hidden="1">
      <c r="A140" s="1" t="s">
        <v>13</v>
      </c>
      <c r="B140" s="1" t="s">
        <v>96</v>
      </c>
      <c r="C140" s="1" t="s">
        <v>57</v>
      </c>
      <c r="D140" s="1" t="s">
        <v>343</v>
      </c>
      <c r="E140" s="1">
        <v>1745</v>
      </c>
      <c r="F140" s="1">
        <v>88</v>
      </c>
      <c r="G140" s="1" t="s">
        <v>116</v>
      </c>
      <c r="H140" s="1">
        <v>68</v>
      </c>
      <c r="I140" s="1">
        <f t="shared" si="11"/>
        <v>1901</v>
      </c>
      <c r="J140" s="1">
        <v>1901</v>
      </c>
      <c r="K140" s="1">
        <v>2386</v>
      </c>
      <c r="L140" s="1">
        <f>(K140-J140)</f>
        <v>485</v>
      </c>
      <c r="M140" s="5">
        <f>ROUND(L140/J140,4)</f>
        <v>0.25509999999999999</v>
      </c>
      <c r="N140" s="1" t="s">
        <v>540</v>
      </c>
      <c r="O140" s="1"/>
      <c r="P140" s="1" t="s">
        <v>558</v>
      </c>
    </row>
    <row r="141" spans="1:16">
      <c r="A141" s="1" t="s">
        <v>13</v>
      </c>
      <c r="B141" s="1" t="s">
        <v>499</v>
      </c>
      <c r="C141" s="1" t="s">
        <v>502</v>
      </c>
      <c r="D141" s="1" t="s">
        <v>343</v>
      </c>
      <c r="E141" s="1">
        <v>145</v>
      </c>
      <c r="F141" s="1">
        <v>19</v>
      </c>
      <c r="G141" s="1" t="s">
        <v>319</v>
      </c>
      <c r="H141" s="1">
        <v>6</v>
      </c>
      <c r="I141" s="1">
        <f t="shared" si="11"/>
        <v>170</v>
      </c>
      <c r="J141" s="1"/>
      <c r="K141" s="1"/>
      <c r="L141" s="1"/>
      <c r="M141" s="5"/>
      <c r="N141" s="1"/>
      <c r="O141" s="1"/>
      <c r="P141" s="1" t="s">
        <v>558</v>
      </c>
    </row>
    <row r="142" spans="1:16">
      <c r="A142" s="1" t="s">
        <v>443</v>
      </c>
      <c r="B142" s="1" t="s">
        <v>195</v>
      </c>
      <c r="C142" s="1" t="s">
        <v>444</v>
      </c>
      <c r="D142" s="1" t="s">
        <v>29</v>
      </c>
      <c r="E142" s="1">
        <v>569</v>
      </c>
      <c r="F142" s="1">
        <v>74</v>
      </c>
      <c r="G142" s="1" t="s">
        <v>5</v>
      </c>
      <c r="H142" s="1">
        <v>22</v>
      </c>
      <c r="I142" s="1">
        <f t="shared" si="11"/>
        <v>665</v>
      </c>
      <c r="J142" s="1"/>
      <c r="K142" s="1"/>
      <c r="L142" s="1"/>
      <c r="M142" s="5"/>
      <c r="N142" s="1"/>
      <c r="O142" s="1"/>
      <c r="P142" s="1" t="s">
        <v>558</v>
      </c>
    </row>
    <row r="143" spans="1:16">
      <c r="A143" s="1" t="s">
        <v>13</v>
      </c>
      <c r="B143" s="1" t="s">
        <v>38</v>
      </c>
      <c r="C143" s="1" t="s">
        <v>435</v>
      </c>
      <c r="D143" s="1" t="s">
        <v>29</v>
      </c>
      <c r="E143" s="1">
        <v>108</v>
      </c>
      <c r="F143" s="1">
        <v>6</v>
      </c>
      <c r="G143" s="1" t="s">
        <v>5</v>
      </c>
      <c r="H143" s="1">
        <v>8</v>
      </c>
      <c r="I143" s="1">
        <f t="shared" si="11"/>
        <v>122</v>
      </c>
      <c r="J143" s="1"/>
      <c r="K143" s="1"/>
      <c r="L143" s="1"/>
      <c r="M143" s="5"/>
      <c r="N143" s="1"/>
      <c r="O143" s="1"/>
      <c r="P143" s="1" t="s">
        <v>559</v>
      </c>
    </row>
    <row r="144" spans="1:16" hidden="1">
      <c r="A144" s="1" t="s">
        <v>13</v>
      </c>
      <c r="B144" s="1" t="s">
        <v>38</v>
      </c>
      <c r="C144" s="1" t="s">
        <v>531</v>
      </c>
      <c r="D144" s="1" t="s">
        <v>8</v>
      </c>
      <c r="E144" s="1">
        <v>856</v>
      </c>
      <c r="F144" s="1">
        <v>153</v>
      </c>
      <c r="G144" s="1" t="s">
        <v>116</v>
      </c>
      <c r="H144" s="1">
        <v>62</v>
      </c>
      <c r="I144" s="1">
        <f t="shared" si="11"/>
        <v>1071</v>
      </c>
      <c r="J144" s="1">
        <v>689</v>
      </c>
      <c r="K144" s="1">
        <v>835</v>
      </c>
      <c r="L144" s="1">
        <f>(K144-J144)</f>
        <v>146</v>
      </c>
      <c r="M144" s="5">
        <f>ROUND(L144/J144,4)</f>
        <v>0.21190000000000001</v>
      </c>
      <c r="N144" s="1" t="s">
        <v>485</v>
      </c>
      <c r="O144" s="1"/>
      <c r="P144" s="1" t="s">
        <v>559</v>
      </c>
    </row>
    <row r="145" spans="1:16">
      <c r="A145" s="1" t="s">
        <v>13</v>
      </c>
      <c r="B145" s="1" t="s">
        <v>38</v>
      </c>
      <c r="C145" s="1" t="s">
        <v>638</v>
      </c>
      <c r="D145" s="1" t="s">
        <v>29</v>
      </c>
      <c r="E145" s="1">
        <v>591</v>
      </c>
      <c r="F145" s="1">
        <v>41</v>
      </c>
      <c r="G145" s="1" t="s">
        <v>5</v>
      </c>
      <c r="H145" s="1">
        <v>43</v>
      </c>
      <c r="I145" s="1">
        <f t="shared" si="11"/>
        <v>675</v>
      </c>
      <c r="J145" s="1"/>
      <c r="K145" s="1"/>
      <c r="L145" s="1"/>
      <c r="M145" s="5"/>
      <c r="N145" s="1" t="s">
        <v>131</v>
      </c>
      <c r="O145" s="1" t="s">
        <v>286</v>
      </c>
      <c r="P145" s="1" t="s">
        <v>559</v>
      </c>
    </row>
    <row r="146" spans="1:16">
      <c r="A146" s="1" t="s">
        <v>13</v>
      </c>
      <c r="B146" s="1" t="s">
        <v>38</v>
      </c>
      <c r="C146" s="1" t="s">
        <v>480</v>
      </c>
      <c r="D146" s="1" t="s">
        <v>343</v>
      </c>
      <c r="E146" s="1">
        <v>534</v>
      </c>
      <c r="F146" s="1">
        <v>20</v>
      </c>
      <c r="G146" s="1" t="s">
        <v>5</v>
      </c>
      <c r="H146" s="1">
        <v>16</v>
      </c>
      <c r="I146" s="1">
        <f t="shared" si="11"/>
        <v>570</v>
      </c>
      <c r="J146" s="1"/>
      <c r="K146" s="1"/>
      <c r="L146" s="1"/>
      <c r="M146" s="5"/>
      <c r="N146" s="1" t="s">
        <v>481</v>
      </c>
      <c r="O146" s="1"/>
      <c r="P146" s="1" t="s">
        <v>557</v>
      </c>
    </row>
    <row r="147" spans="1:16" hidden="1">
      <c r="A147" s="1" t="s">
        <v>13</v>
      </c>
      <c r="B147" s="1" t="s">
        <v>96</v>
      </c>
      <c r="C147" s="1" t="s">
        <v>664</v>
      </c>
      <c r="D147" s="1" t="s">
        <v>343</v>
      </c>
      <c r="E147" s="1">
        <v>1333</v>
      </c>
      <c r="F147" s="1">
        <v>47</v>
      </c>
      <c r="G147" s="1" t="s">
        <v>116</v>
      </c>
      <c r="H147" s="1">
        <v>40</v>
      </c>
      <c r="I147" s="1">
        <f t="shared" si="11"/>
        <v>1420</v>
      </c>
      <c r="J147" s="1">
        <v>1420</v>
      </c>
      <c r="K147" s="1">
        <v>1669</v>
      </c>
      <c r="L147" s="1">
        <f>(K147-J147)</f>
        <v>249</v>
      </c>
      <c r="M147" s="5">
        <f>ROUND(L147/J147,4)</f>
        <v>0.1754</v>
      </c>
      <c r="N147" s="1"/>
      <c r="O147" s="1"/>
      <c r="P147" s="1" t="s">
        <v>557</v>
      </c>
    </row>
    <row r="148" spans="1:16">
      <c r="A148" s="1" t="s">
        <v>13</v>
      </c>
      <c r="B148" s="1" t="s">
        <v>96</v>
      </c>
      <c r="C148" s="1" t="s">
        <v>609</v>
      </c>
      <c r="D148" s="1" t="s">
        <v>8</v>
      </c>
      <c r="E148" s="1">
        <v>1795</v>
      </c>
      <c r="F148" s="1">
        <v>52</v>
      </c>
      <c r="G148" s="1" t="s">
        <v>319</v>
      </c>
      <c r="H148" s="1">
        <v>53</v>
      </c>
      <c r="I148" s="1">
        <f t="shared" si="11"/>
        <v>1900</v>
      </c>
      <c r="J148" s="1"/>
      <c r="K148" s="1"/>
      <c r="L148" s="1"/>
      <c r="M148" s="5"/>
      <c r="N148" s="1" t="s">
        <v>24</v>
      </c>
      <c r="O148" s="1"/>
      <c r="P148" s="1" t="s">
        <v>557</v>
      </c>
    </row>
    <row r="149" spans="1:16">
      <c r="A149" s="1" t="s">
        <v>13</v>
      </c>
      <c r="B149" s="1" t="s">
        <v>38</v>
      </c>
      <c r="C149" s="1" t="s">
        <v>442</v>
      </c>
      <c r="D149" s="1" t="s">
        <v>8</v>
      </c>
      <c r="E149" s="1">
        <v>258</v>
      </c>
      <c r="F149" s="1">
        <v>43</v>
      </c>
      <c r="G149" s="1" t="s">
        <v>5</v>
      </c>
      <c r="H149" s="1">
        <v>12</v>
      </c>
      <c r="I149" s="1">
        <f t="shared" si="11"/>
        <v>313</v>
      </c>
      <c r="J149" s="1"/>
      <c r="K149" s="1"/>
      <c r="L149" s="1"/>
      <c r="M149" s="5"/>
      <c r="N149" s="1"/>
      <c r="O149" s="1"/>
      <c r="P149" s="1" t="s">
        <v>556</v>
      </c>
    </row>
    <row r="150" spans="1:16">
      <c r="A150" s="1" t="s">
        <v>13</v>
      </c>
      <c r="B150" s="1" t="s">
        <v>38</v>
      </c>
      <c r="C150" s="1" t="s">
        <v>487</v>
      </c>
      <c r="D150" s="1" t="s">
        <v>343</v>
      </c>
      <c r="E150" s="1">
        <v>103</v>
      </c>
      <c r="F150" s="1">
        <v>8</v>
      </c>
      <c r="G150" s="1" t="s">
        <v>5</v>
      </c>
      <c r="H150" s="1">
        <v>5</v>
      </c>
      <c r="I150" s="1">
        <f t="shared" si="11"/>
        <v>116</v>
      </c>
      <c r="J150" s="1"/>
      <c r="K150" s="1"/>
      <c r="L150" s="1"/>
      <c r="M150" s="5"/>
      <c r="N150" s="1" t="s">
        <v>488</v>
      </c>
      <c r="O150" s="1"/>
      <c r="P150" s="1" t="s">
        <v>556</v>
      </c>
    </row>
    <row r="151" spans="1:16">
      <c r="A151" s="1" t="s">
        <v>13</v>
      </c>
      <c r="B151" s="1" t="s">
        <v>96</v>
      </c>
      <c r="C151" s="1" t="s">
        <v>664</v>
      </c>
      <c r="D151" s="1" t="s">
        <v>343</v>
      </c>
      <c r="E151" s="1">
        <v>1240</v>
      </c>
      <c r="F151" s="1">
        <v>67</v>
      </c>
      <c r="G151" s="1" t="s">
        <v>5</v>
      </c>
      <c r="H151" s="1">
        <v>57</v>
      </c>
      <c r="I151" s="1">
        <f t="shared" si="11"/>
        <v>1364</v>
      </c>
      <c r="J151" s="1"/>
      <c r="K151" s="1"/>
      <c r="L151" s="1"/>
      <c r="M151" s="5"/>
      <c r="N151" s="1"/>
      <c r="O151" s="1"/>
      <c r="P151" s="1" t="s">
        <v>556</v>
      </c>
    </row>
    <row r="152" spans="1:16">
      <c r="A152" s="1" t="s">
        <v>13</v>
      </c>
      <c r="B152" s="1" t="s">
        <v>489</v>
      </c>
      <c r="C152" s="1" t="s">
        <v>490</v>
      </c>
      <c r="D152" s="1" t="s">
        <v>343</v>
      </c>
      <c r="E152" s="1">
        <v>444</v>
      </c>
      <c r="F152" s="1">
        <v>11</v>
      </c>
      <c r="G152" s="1" t="s">
        <v>5</v>
      </c>
      <c r="H152" s="1">
        <v>21</v>
      </c>
      <c r="I152" s="1">
        <f t="shared" si="11"/>
        <v>476</v>
      </c>
      <c r="J152" s="1"/>
      <c r="K152" s="1"/>
      <c r="L152" s="1"/>
      <c r="M152" s="5"/>
      <c r="N152" s="1"/>
      <c r="O152" s="1"/>
      <c r="P152" s="1" t="s">
        <v>556</v>
      </c>
    </row>
    <row r="153" spans="1:16">
      <c r="A153" s="1" t="s">
        <v>13</v>
      </c>
      <c r="B153" s="1" t="s">
        <v>96</v>
      </c>
      <c r="C153" s="1" t="s">
        <v>503</v>
      </c>
      <c r="D153" s="1" t="s">
        <v>29</v>
      </c>
      <c r="E153" s="1">
        <v>808</v>
      </c>
      <c r="F153" s="1">
        <v>58</v>
      </c>
      <c r="G153" s="1" t="s">
        <v>319</v>
      </c>
      <c r="H153" s="1">
        <v>37</v>
      </c>
      <c r="I153" s="1">
        <f t="shared" si="11"/>
        <v>903</v>
      </c>
      <c r="J153" s="1"/>
      <c r="K153" s="1"/>
      <c r="L153" s="1"/>
      <c r="M153" s="5"/>
      <c r="N153" s="1" t="s">
        <v>501</v>
      </c>
      <c r="O153" s="1" t="s">
        <v>286</v>
      </c>
      <c r="P153" s="1" t="s">
        <v>556</v>
      </c>
    </row>
    <row r="154" spans="1:16">
      <c r="A154" s="1" t="s">
        <v>13</v>
      </c>
      <c r="B154" s="1" t="s">
        <v>96</v>
      </c>
      <c r="C154" s="1" t="s">
        <v>50</v>
      </c>
      <c r="D154" s="1" t="s">
        <v>8</v>
      </c>
      <c r="E154" s="1">
        <v>2111</v>
      </c>
      <c r="F154" s="1">
        <v>133</v>
      </c>
      <c r="G154" s="1" t="s">
        <v>319</v>
      </c>
      <c r="H154" s="1">
        <v>130</v>
      </c>
      <c r="I154" s="1">
        <f t="shared" si="11"/>
        <v>2374</v>
      </c>
      <c r="J154" s="1"/>
      <c r="K154" s="1"/>
      <c r="L154" s="1"/>
      <c r="M154" s="5"/>
      <c r="N154" s="1" t="s">
        <v>482</v>
      </c>
      <c r="O154" s="1" t="s">
        <v>506</v>
      </c>
      <c r="P154" s="1" t="s">
        <v>581</v>
      </c>
    </row>
    <row r="155" spans="1:16">
      <c r="A155" s="1" t="s">
        <v>13</v>
      </c>
      <c r="B155" s="1" t="s">
        <v>38</v>
      </c>
      <c r="C155" s="1" t="s">
        <v>897</v>
      </c>
      <c r="D155" s="1" t="s">
        <v>343</v>
      </c>
      <c r="E155" s="1">
        <v>745</v>
      </c>
      <c r="F155" s="1">
        <v>79</v>
      </c>
      <c r="G155" s="1" t="s">
        <v>5</v>
      </c>
      <c r="H155" s="1">
        <v>46</v>
      </c>
      <c r="I155" s="1">
        <f t="shared" si="11"/>
        <v>870</v>
      </c>
      <c r="J155" s="1"/>
      <c r="K155" s="1"/>
      <c r="L155" s="1"/>
      <c r="M155" s="5"/>
      <c r="N155" s="1" t="s">
        <v>481</v>
      </c>
      <c r="O155" s="1"/>
      <c r="P155" s="1" t="s">
        <v>582</v>
      </c>
    </row>
    <row r="156" spans="1:16">
      <c r="A156" s="1" t="s">
        <v>13</v>
      </c>
      <c r="B156" s="1" t="s">
        <v>38</v>
      </c>
      <c r="C156" s="1" t="s">
        <v>483</v>
      </c>
      <c r="D156" s="1" t="s">
        <v>343</v>
      </c>
      <c r="E156" s="1">
        <v>169</v>
      </c>
      <c r="F156" s="1">
        <v>46</v>
      </c>
      <c r="G156" s="1" t="s">
        <v>5</v>
      </c>
      <c r="H156" s="1">
        <v>10</v>
      </c>
      <c r="I156" s="1">
        <f t="shared" si="11"/>
        <v>225</v>
      </c>
      <c r="J156" s="1"/>
      <c r="K156" s="1"/>
      <c r="L156" s="1"/>
      <c r="M156" s="5"/>
      <c r="N156" s="1" t="s">
        <v>481</v>
      </c>
      <c r="O156" s="1"/>
      <c r="P156" s="1" t="s">
        <v>582</v>
      </c>
    </row>
    <row r="157" spans="1:16">
      <c r="A157" s="1" t="s">
        <v>13</v>
      </c>
      <c r="B157" s="1" t="s">
        <v>38</v>
      </c>
      <c r="C157" s="1" t="s">
        <v>484</v>
      </c>
      <c r="D157" s="1" t="s">
        <v>343</v>
      </c>
      <c r="E157" s="1">
        <v>170</v>
      </c>
      <c r="F157" s="1">
        <v>46</v>
      </c>
      <c r="G157" s="1" t="s">
        <v>5</v>
      </c>
      <c r="H157" s="1">
        <v>11</v>
      </c>
      <c r="I157" s="1">
        <f t="shared" si="11"/>
        <v>227</v>
      </c>
      <c r="J157" s="1"/>
      <c r="K157" s="1"/>
      <c r="L157" s="1"/>
      <c r="M157" s="5"/>
      <c r="N157" s="1" t="s">
        <v>481</v>
      </c>
      <c r="O157" s="1"/>
      <c r="P157" s="1" t="s">
        <v>582</v>
      </c>
    </row>
    <row r="158" spans="1:16">
      <c r="A158" s="1" t="s">
        <v>13</v>
      </c>
      <c r="B158" s="1" t="s">
        <v>96</v>
      </c>
      <c r="C158" s="1" t="s">
        <v>659</v>
      </c>
      <c r="D158" s="1" t="s">
        <v>8</v>
      </c>
      <c r="E158" s="1">
        <v>1530</v>
      </c>
      <c r="F158" s="1">
        <v>30</v>
      </c>
      <c r="G158" s="1" t="s">
        <v>319</v>
      </c>
      <c r="H158" s="1"/>
      <c r="I158" s="1">
        <f t="shared" si="11"/>
        <v>1560</v>
      </c>
      <c r="J158" s="1"/>
      <c r="K158" s="1"/>
      <c r="L158" s="1"/>
      <c r="M158" s="5"/>
      <c r="N158" s="1" t="s">
        <v>657</v>
      </c>
      <c r="O158" s="1"/>
      <c r="P158" s="1"/>
    </row>
    <row r="159" spans="1:16">
      <c r="A159" s="1" t="s">
        <v>13</v>
      </c>
      <c r="B159" s="1" t="s">
        <v>96</v>
      </c>
      <c r="C159" s="1" t="s">
        <v>660</v>
      </c>
      <c r="D159" s="1" t="s">
        <v>8</v>
      </c>
      <c r="E159" s="1">
        <v>1531</v>
      </c>
      <c r="F159" s="1">
        <v>30</v>
      </c>
      <c r="G159" s="1" t="s">
        <v>319</v>
      </c>
      <c r="H159" s="1"/>
      <c r="I159" s="1">
        <f t="shared" si="11"/>
        <v>1561</v>
      </c>
      <c r="J159" s="1"/>
      <c r="K159" s="1"/>
      <c r="L159" s="1"/>
      <c r="M159" s="5"/>
      <c r="N159" s="1" t="s">
        <v>657</v>
      </c>
      <c r="O159" s="1"/>
      <c r="P159" s="1"/>
    </row>
    <row r="160" spans="1:16">
      <c r="A160" s="1" t="s">
        <v>126</v>
      </c>
      <c r="B160" s="1" t="s">
        <v>127</v>
      </c>
      <c r="C160" s="1" t="s">
        <v>1080</v>
      </c>
      <c r="D160" s="1" t="s">
        <v>8</v>
      </c>
      <c r="E160" s="1">
        <v>738</v>
      </c>
      <c r="F160" s="1"/>
      <c r="G160" s="1" t="s">
        <v>5</v>
      </c>
      <c r="H160" s="1"/>
      <c r="I160" s="1">
        <f t="shared" si="11"/>
        <v>738</v>
      </c>
      <c r="J160" s="1"/>
      <c r="K160" s="1"/>
      <c r="L160" s="1"/>
      <c r="M160" s="5"/>
      <c r="N160" s="1" t="s">
        <v>714</v>
      </c>
      <c r="O160" s="1"/>
      <c r="P160" s="1"/>
    </row>
    <row r="161" spans="1:16">
      <c r="A161" s="1" t="s">
        <v>13</v>
      </c>
      <c r="B161" s="1" t="s">
        <v>38</v>
      </c>
      <c r="C161" s="1" t="s">
        <v>448</v>
      </c>
      <c r="D161" s="1" t="s">
        <v>8</v>
      </c>
      <c r="E161" s="1">
        <v>2062</v>
      </c>
      <c r="F161" s="1">
        <v>38</v>
      </c>
      <c r="G161" s="1" t="s">
        <v>116</v>
      </c>
      <c r="H161" s="1">
        <v>38</v>
      </c>
      <c r="I161" s="1">
        <f t="shared" si="11"/>
        <v>2138</v>
      </c>
      <c r="J161" s="1">
        <v>2138</v>
      </c>
      <c r="K161" s="1">
        <v>3698</v>
      </c>
      <c r="L161" s="1">
        <f>(K161-J161)</f>
        <v>1560</v>
      </c>
      <c r="M161" s="5">
        <f>ROUND(L161/J161,4)</f>
        <v>0.72970000000000002</v>
      </c>
      <c r="N161" s="1"/>
      <c r="O161" s="1"/>
      <c r="P161" s="1"/>
    </row>
    <row r="162" spans="1:16">
      <c r="A162" s="1" t="s">
        <v>13</v>
      </c>
      <c r="B162" s="1" t="s">
        <v>96</v>
      </c>
      <c r="C162" s="1" t="s">
        <v>656</v>
      </c>
      <c r="D162" s="1" t="s">
        <v>8</v>
      </c>
      <c r="E162" s="1">
        <v>1477</v>
      </c>
      <c r="F162" s="1">
        <v>56</v>
      </c>
      <c r="G162" s="1" t="s">
        <v>319</v>
      </c>
      <c r="H162" s="1">
        <v>26</v>
      </c>
      <c r="I162" s="1">
        <f t="shared" si="11"/>
        <v>1559</v>
      </c>
      <c r="J162" s="1"/>
      <c r="K162" s="1"/>
      <c r="L162" s="1"/>
      <c r="M162" s="5"/>
      <c r="N162" s="1" t="s">
        <v>657</v>
      </c>
      <c r="O162" s="1"/>
    </row>
    <row r="163" spans="1:16">
      <c r="A163" s="1" t="s">
        <v>13</v>
      </c>
      <c r="B163" s="1"/>
      <c r="C163" s="1" t="s">
        <v>855</v>
      </c>
      <c r="D163" s="1" t="s">
        <v>8</v>
      </c>
      <c r="E163" s="1">
        <v>398</v>
      </c>
      <c r="F163" s="1">
        <v>35</v>
      </c>
      <c r="G163" s="1" t="s">
        <v>319</v>
      </c>
      <c r="H163" s="1"/>
      <c r="I163" s="1">
        <f t="shared" si="11"/>
        <v>433</v>
      </c>
      <c r="J163" s="1"/>
      <c r="K163" s="1"/>
      <c r="L163" s="1"/>
      <c r="M163" s="5"/>
      <c r="N163" s="1"/>
      <c r="O163" s="1"/>
    </row>
    <row r="164" spans="1:16">
      <c r="A164" s="1" t="s">
        <v>13</v>
      </c>
      <c r="B164" s="1" t="s">
        <v>38</v>
      </c>
      <c r="C164" s="1" t="s">
        <v>1045</v>
      </c>
      <c r="D164" s="1" t="s">
        <v>8</v>
      </c>
      <c r="E164" s="1">
        <v>3085</v>
      </c>
      <c r="F164" s="1">
        <v>95</v>
      </c>
      <c r="G164" s="1" t="s">
        <v>116</v>
      </c>
      <c r="H164" s="1">
        <v>407</v>
      </c>
      <c r="I164" s="1">
        <f t="shared" si="11"/>
        <v>3587</v>
      </c>
      <c r="J164" s="1">
        <v>3587</v>
      </c>
      <c r="K164" s="1">
        <v>3608</v>
      </c>
      <c r="L164" s="1">
        <f>(K164-J164)</f>
        <v>21</v>
      </c>
      <c r="M164" s="5">
        <f>ROUND(L164/J164,4)</f>
        <v>5.8999999999999999E-3</v>
      </c>
      <c r="N164" s="1"/>
      <c r="O164" s="1"/>
    </row>
    <row r="165" spans="1:16">
      <c r="A165" s="1" t="s">
        <v>13</v>
      </c>
      <c r="B165" s="1" t="s">
        <v>38</v>
      </c>
      <c r="C165" s="1" t="s">
        <v>448</v>
      </c>
      <c r="D165" s="1" t="s">
        <v>8</v>
      </c>
      <c r="E165" s="1">
        <v>3134</v>
      </c>
      <c r="F165" s="1">
        <v>13</v>
      </c>
      <c r="G165" s="1" t="s">
        <v>116</v>
      </c>
      <c r="H165" s="1">
        <v>400</v>
      </c>
      <c r="I165" s="1">
        <f t="shared" si="11"/>
        <v>3547</v>
      </c>
      <c r="J165" s="1">
        <v>3547</v>
      </c>
      <c r="K165" s="1">
        <v>3578</v>
      </c>
      <c r="L165" s="1">
        <f>(K165-J165)</f>
        <v>31</v>
      </c>
      <c r="M165" s="5">
        <f>ROUND(L165/J165,4)</f>
        <v>8.6999999999999994E-3</v>
      </c>
      <c r="N165" s="1"/>
      <c r="O165" s="1"/>
    </row>
    <row r="166" spans="1:16">
      <c r="A166" s="1" t="s">
        <v>574</v>
      </c>
      <c r="B166" s="1" t="s">
        <v>499</v>
      </c>
      <c r="C166" s="1" t="s">
        <v>907</v>
      </c>
      <c r="D166" s="1" t="s">
        <v>8</v>
      </c>
      <c r="E166" s="1">
        <v>280</v>
      </c>
      <c r="F166" s="1"/>
      <c r="G166" s="1" t="s">
        <v>319</v>
      </c>
      <c r="H166" s="1"/>
      <c r="I166" s="1">
        <f t="shared" si="11"/>
        <v>280</v>
      </c>
      <c r="J166" s="1"/>
      <c r="K166" s="1"/>
      <c r="L166" s="1"/>
      <c r="M166" s="5"/>
      <c r="N166" s="1" t="s">
        <v>908</v>
      </c>
    </row>
    <row r="167" spans="1:16" hidden="1">
      <c r="A167" s="1" t="s">
        <v>574</v>
      </c>
      <c r="B167" s="1" t="s">
        <v>499</v>
      </c>
      <c r="C167" s="1" t="s">
        <v>907</v>
      </c>
      <c r="D167" s="1" t="s">
        <v>8</v>
      </c>
      <c r="E167" s="1">
        <v>281</v>
      </c>
      <c r="F167" s="1"/>
      <c r="G167" s="1" t="s">
        <v>116</v>
      </c>
      <c r="H167" s="1"/>
      <c r="I167" s="1">
        <f t="shared" si="11"/>
        <v>281</v>
      </c>
      <c r="J167" s="1">
        <v>281</v>
      </c>
      <c r="K167" s="1">
        <v>308</v>
      </c>
      <c r="L167" s="1">
        <f>(K167-J167)</f>
        <v>27</v>
      </c>
      <c r="M167" s="5">
        <f>ROUND(L167/J167,4)</f>
        <v>9.6100000000000005E-2</v>
      </c>
      <c r="N167" s="1" t="s">
        <v>908</v>
      </c>
      <c r="O167" s="1"/>
    </row>
    <row r="168" spans="1:16">
      <c r="A168" s="1" t="s">
        <v>13</v>
      </c>
      <c r="B168" s="1" t="s">
        <v>38</v>
      </c>
      <c r="C168" s="1" t="s">
        <v>912</v>
      </c>
      <c r="D168" s="1" t="s">
        <v>8</v>
      </c>
      <c r="E168" s="1">
        <v>391</v>
      </c>
      <c r="F168" s="1"/>
      <c r="G168" s="1" t="s">
        <v>319</v>
      </c>
      <c r="H168" s="1"/>
      <c r="I168" s="1">
        <f t="shared" si="11"/>
        <v>391</v>
      </c>
      <c r="J168" s="1"/>
      <c r="M168"/>
    </row>
    <row r="169" spans="1:16">
      <c r="A169" s="1" t="s">
        <v>13</v>
      </c>
      <c r="B169" s="1" t="s">
        <v>40</v>
      </c>
      <c r="C169" s="1" t="s">
        <v>658</v>
      </c>
      <c r="D169" s="1" t="s">
        <v>343</v>
      </c>
      <c r="E169" s="1">
        <v>470</v>
      </c>
      <c r="F169" s="1"/>
      <c r="G169" s="1" t="s">
        <v>319</v>
      </c>
      <c r="H169" s="1"/>
      <c r="I169" s="1">
        <f t="shared" ref="I169:I174" si="12">(E169+F169+H169)</f>
        <v>470</v>
      </c>
      <c r="J169" s="1"/>
      <c r="K169" s="1"/>
      <c r="L169" s="1"/>
      <c r="M169" s="5"/>
      <c r="N169" s="1" t="s">
        <v>698</v>
      </c>
      <c r="O169" s="1"/>
    </row>
    <row r="170" spans="1:16">
      <c r="A170" s="1" t="s">
        <v>13</v>
      </c>
      <c r="B170" s="1" t="s">
        <v>40</v>
      </c>
      <c r="C170" s="1" t="s">
        <v>658</v>
      </c>
      <c r="D170" s="1" t="s">
        <v>343</v>
      </c>
      <c r="E170" s="1">
        <v>500</v>
      </c>
      <c r="F170" s="1"/>
      <c r="G170" s="1" t="s">
        <v>319</v>
      </c>
      <c r="H170" s="1"/>
      <c r="I170" s="1">
        <f t="shared" si="12"/>
        <v>500</v>
      </c>
      <c r="J170" s="1"/>
      <c r="K170" s="1"/>
      <c r="L170" s="1"/>
      <c r="M170" s="5"/>
      <c r="N170" s="1" t="s">
        <v>698</v>
      </c>
      <c r="O170" s="1"/>
      <c r="P170" s="1"/>
    </row>
    <row r="171" spans="1:16">
      <c r="A171" s="1" t="s">
        <v>971</v>
      </c>
      <c r="B171" s="1" t="s">
        <v>994</v>
      </c>
      <c r="C171" s="1" t="s">
        <v>971</v>
      </c>
      <c r="D171" s="1" t="s">
        <v>343</v>
      </c>
      <c r="E171" s="1">
        <v>1840</v>
      </c>
      <c r="F171" s="1"/>
      <c r="G171" s="1" t="s">
        <v>319</v>
      </c>
      <c r="H171" s="1"/>
      <c r="I171" s="1">
        <f t="shared" si="12"/>
        <v>1840</v>
      </c>
      <c r="J171" s="1"/>
      <c r="K171" s="1"/>
      <c r="L171" s="1"/>
      <c r="M171" s="5"/>
      <c r="N171" s="1" t="s">
        <v>1089</v>
      </c>
      <c r="O171" s="1"/>
      <c r="P171" s="1"/>
    </row>
    <row r="172" spans="1:16">
      <c r="A172" s="1" t="s">
        <v>1016</v>
      </c>
      <c r="B172" s="1" t="s">
        <v>590</v>
      </c>
      <c r="C172" s="1" t="s">
        <v>1017</v>
      </c>
      <c r="D172" s="1" t="s">
        <v>343</v>
      </c>
      <c r="E172" s="1">
        <v>1615</v>
      </c>
      <c r="F172" s="1"/>
      <c r="G172" s="1" t="s">
        <v>116</v>
      </c>
      <c r="H172" s="1"/>
      <c r="I172" s="1">
        <f t="shared" si="12"/>
        <v>1615</v>
      </c>
      <c r="J172" s="1">
        <v>1615</v>
      </c>
      <c r="K172" s="1">
        <v>1739</v>
      </c>
      <c r="L172" s="1">
        <f>(K172-J172)</f>
        <v>124</v>
      </c>
      <c r="M172" s="5">
        <f>ROUND(L172/J172,4)</f>
        <v>7.6799999999999993E-2</v>
      </c>
      <c r="N172" s="1" t="s">
        <v>1019</v>
      </c>
      <c r="O172" s="1"/>
      <c r="P172" s="1"/>
    </row>
    <row r="173" spans="1:16">
      <c r="A173" s="1" t="s">
        <v>507</v>
      </c>
      <c r="B173" s="1"/>
      <c r="C173" s="1" t="s">
        <v>504</v>
      </c>
      <c r="D173" s="1" t="s">
        <v>343</v>
      </c>
      <c r="E173" s="1">
        <v>1570</v>
      </c>
      <c r="F173" s="1"/>
      <c r="G173" s="1" t="s">
        <v>319</v>
      </c>
      <c r="H173" s="1"/>
      <c r="I173" s="1">
        <f t="shared" si="12"/>
        <v>1570</v>
      </c>
      <c r="J173" s="1"/>
      <c r="K173" s="1"/>
      <c r="L173" s="1"/>
      <c r="M173" s="5"/>
      <c r="N173" s="1" t="s">
        <v>1022</v>
      </c>
      <c r="O173" s="1" t="s">
        <v>286</v>
      </c>
      <c r="P173" s="1"/>
    </row>
    <row r="174" spans="1:16">
      <c r="A174" s="1" t="s">
        <v>13</v>
      </c>
      <c r="B174" s="1" t="s">
        <v>1021</v>
      </c>
      <c r="C174" s="1" t="s">
        <v>773</v>
      </c>
      <c r="D174" s="1" t="s">
        <v>343</v>
      </c>
      <c r="E174" s="1">
        <v>41</v>
      </c>
      <c r="F174" s="1"/>
      <c r="G174" s="1" t="s">
        <v>319</v>
      </c>
      <c r="H174" s="1"/>
      <c r="I174" s="1">
        <f t="shared" si="12"/>
        <v>41</v>
      </c>
      <c r="J174" s="1"/>
      <c r="K174" s="1"/>
      <c r="L174" s="1"/>
      <c r="M174" s="5"/>
      <c r="N174" s="1" t="s">
        <v>1020</v>
      </c>
      <c r="O174" s="1"/>
      <c r="P174" s="1"/>
    </row>
    <row r="175" spans="1:16">
      <c r="A175" s="1" t="s">
        <v>662</v>
      </c>
      <c r="B175" s="1" t="s">
        <v>1257</v>
      </c>
      <c r="C175" s="1" t="s">
        <v>661</v>
      </c>
      <c r="D175" s="1" t="s">
        <v>8</v>
      </c>
      <c r="E175" s="1">
        <v>1209</v>
      </c>
      <c r="F175" s="1"/>
      <c r="G175" s="1" t="s">
        <v>319</v>
      </c>
      <c r="H175" s="1"/>
      <c r="I175" s="1">
        <f>(E175+F175+H175)</f>
        <v>1209</v>
      </c>
      <c r="J175" s="1"/>
      <c r="K175" s="1"/>
      <c r="L175" s="1"/>
      <c r="M175" s="5"/>
      <c r="N175" s="1" t="s">
        <v>663</v>
      </c>
      <c r="O175" s="1"/>
    </row>
    <row r="176" spans="1:16">
      <c r="A176" s="1" t="s">
        <v>13</v>
      </c>
      <c r="B176" s="1" t="s">
        <v>700</v>
      </c>
      <c r="C176" s="1" t="s">
        <v>699</v>
      </c>
      <c r="D176" s="1" t="s">
        <v>343</v>
      </c>
      <c r="E176" s="1">
        <v>1400</v>
      </c>
      <c r="F176" s="1"/>
      <c r="G176" s="1" t="s">
        <v>319</v>
      </c>
      <c r="H176" s="1"/>
      <c r="I176" s="1">
        <f>(E176+F176+H176)</f>
        <v>1400</v>
      </c>
      <c r="J176" s="1"/>
      <c r="K176" s="1"/>
      <c r="L176" s="1"/>
      <c r="M176" s="5"/>
      <c r="N176" s="1" t="s">
        <v>701</v>
      </c>
      <c r="O176" s="1"/>
    </row>
    <row r="177" spans="1:16">
      <c r="A177" s="1" t="s">
        <v>13</v>
      </c>
      <c r="B177" s="1" t="s">
        <v>38</v>
      </c>
      <c r="C177" s="1" t="s">
        <v>1691</v>
      </c>
      <c r="D177" s="1" t="s">
        <v>343</v>
      </c>
      <c r="E177" s="1">
        <v>454</v>
      </c>
      <c r="F177" s="1"/>
      <c r="G177" s="1" t="s">
        <v>5</v>
      </c>
      <c r="H177" s="1">
        <v>34</v>
      </c>
      <c r="I177" s="1">
        <f>(E177+F177+H177)</f>
        <v>488</v>
      </c>
      <c r="J177" s="1"/>
      <c r="K177" s="1"/>
      <c r="L177" s="1"/>
      <c r="M177" s="5"/>
      <c r="N177" s="1" t="s">
        <v>474</v>
      </c>
      <c r="O177" s="1"/>
      <c r="P177" s="1"/>
    </row>
    <row r="178" spans="1:16">
      <c r="A178" s="1"/>
      <c r="C178"/>
      <c r="M178"/>
    </row>
    <row r="179" spans="1:16">
      <c r="A179" s="1" t="s">
        <v>662</v>
      </c>
      <c r="B179" s="1" t="s">
        <v>1257</v>
      </c>
      <c r="C179" s="1" t="s">
        <v>1090</v>
      </c>
      <c r="D179" s="1" t="s">
        <v>8</v>
      </c>
      <c r="E179" s="1">
        <v>1084</v>
      </c>
      <c r="F179" s="1"/>
      <c r="G179" s="1" t="s">
        <v>319</v>
      </c>
      <c r="H179" s="1"/>
      <c r="I179" s="1">
        <f>(E179+F179+H179)</f>
        <v>1084</v>
      </c>
      <c r="J179" s="1"/>
      <c r="K179" s="1"/>
      <c r="L179" s="1"/>
      <c r="M179" s="5"/>
      <c r="N179" s="1" t="s">
        <v>1091</v>
      </c>
      <c r="O179" s="1"/>
    </row>
    <row r="180" spans="1:16">
      <c r="A180" s="1"/>
      <c r="C180"/>
      <c r="M180"/>
    </row>
    <row r="181" spans="1:16">
      <c r="A181" s="1"/>
      <c r="C181"/>
      <c r="M181"/>
    </row>
    <row r="182" spans="1:16">
      <c r="A182" s="1"/>
      <c r="C182"/>
      <c r="M182"/>
    </row>
    <row r="183" spans="1:16">
      <c r="A183" s="1"/>
      <c r="C183"/>
      <c r="M183"/>
    </row>
  </sheetData>
  <autoFilter ref="A1:R177" xr:uid="{A7AFF284-C55C-40C1-8B50-A8C050C025EF}">
    <filterColumn colId="6">
      <filters blank="1">
        <filter val="留存"/>
      </filters>
    </filterColumn>
  </autoFilter>
  <phoneticPr fontId="1"/>
  <conditionalFormatting sqref="A2:J2 N2:O2 A78:O78 C40:O40 A64:D64 A33:O39 A57:O63 A68:E68 A70:E70 A66:D67 A69:I69 A72:D72 A73:F73 A74:I74 A71:O71 A65:O65 A75:D77 A79:K79 A93:O96 A92:H92 A41:O55 A20:B100 A178 A3:O31 A32:N32 A102:B165 E166:N166 C176 E168:J168 D167:O167 C2:C171 J174:O174 A174:C174 E174:F174 A167:B171 A173 D33:O100 A175:O175 C178 C180:C1048576 A180:A183 D169:O171 D102:O165">
    <cfRule type="expression" dxfId="1892" priority="870">
      <formula>$G2="卖出"</formula>
    </cfRule>
  </conditionalFormatting>
  <conditionalFormatting sqref="K2 M2">
    <cfRule type="expression" dxfId="1891" priority="864">
      <formula>$G2="卖出"</formula>
    </cfRule>
  </conditionalFormatting>
  <conditionalFormatting sqref="L2">
    <cfRule type="expression" dxfId="1890" priority="843">
      <formula>$G2="卖出"</formula>
    </cfRule>
  </conditionalFormatting>
  <conditionalFormatting sqref="C3:C38">
    <cfRule type="duplicateValues" dxfId="1889" priority="887"/>
  </conditionalFormatting>
  <conditionalFormatting sqref="C5">
    <cfRule type="duplicateValues" dxfId="1888" priority="771"/>
  </conditionalFormatting>
  <conditionalFormatting sqref="A125">
    <cfRule type="expression" dxfId="1887" priority="691">
      <formula>$G125="卖出"</formula>
    </cfRule>
  </conditionalFormatting>
  <conditionalFormatting sqref="D125">
    <cfRule type="expression" dxfId="1886" priority="690">
      <formula>$G125="卖出"</formula>
    </cfRule>
  </conditionalFormatting>
  <conditionalFormatting sqref="G125">
    <cfRule type="expression" dxfId="1885" priority="689">
      <formula>$G125="卖出"</formula>
    </cfRule>
  </conditionalFormatting>
  <conditionalFormatting sqref="A129">
    <cfRule type="expression" dxfId="1884" priority="677">
      <formula>$G129="卖出"</formula>
    </cfRule>
  </conditionalFormatting>
  <conditionalFormatting sqref="B129">
    <cfRule type="expression" dxfId="1883" priority="676">
      <formula>$G129="卖出"</formula>
    </cfRule>
  </conditionalFormatting>
  <conditionalFormatting sqref="D129">
    <cfRule type="expression" dxfId="1882" priority="673">
      <formula>$G129="卖出"</formula>
    </cfRule>
  </conditionalFormatting>
  <conditionalFormatting sqref="O125">
    <cfRule type="expression" dxfId="1881" priority="670">
      <formula>$G125="卖出"</formula>
    </cfRule>
  </conditionalFormatting>
  <conditionalFormatting sqref="A130">
    <cfRule type="expression" dxfId="1880" priority="668">
      <formula>$G130="卖出"</formula>
    </cfRule>
  </conditionalFormatting>
  <conditionalFormatting sqref="B130">
    <cfRule type="expression" dxfId="1879" priority="667">
      <formula>$G130="卖出"</formula>
    </cfRule>
  </conditionalFormatting>
  <conditionalFormatting sqref="D130">
    <cfRule type="expression" dxfId="1878" priority="664">
      <formula>$G130="卖出"</formula>
    </cfRule>
  </conditionalFormatting>
  <conditionalFormatting sqref="G130">
    <cfRule type="expression" dxfId="1877" priority="663">
      <formula>$G130="卖出"</formula>
    </cfRule>
  </conditionalFormatting>
  <conditionalFormatting sqref="O129:O130">
    <cfRule type="expression" dxfId="1876" priority="662">
      <formula>$G129="卖出"</formula>
    </cfRule>
  </conditionalFormatting>
  <conditionalFormatting sqref="C77 C73">
    <cfRule type="duplicateValues" dxfId="1875" priority="949"/>
  </conditionalFormatting>
  <conditionalFormatting sqref="B136">
    <cfRule type="expression" dxfId="1874" priority="603">
      <formula>$G136="卖出"</formula>
    </cfRule>
  </conditionalFormatting>
  <conditionalFormatting sqref="A136">
    <cfRule type="expression" dxfId="1873" priority="604">
      <formula>$G136="卖出"</formula>
    </cfRule>
  </conditionalFormatting>
  <conditionalFormatting sqref="D136">
    <cfRule type="expression" dxfId="1872" priority="602">
      <formula>$G136="卖出"</formula>
    </cfRule>
  </conditionalFormatting>
  <conditionalFormatting sqref="B40">
    <cfRule type="expression" dxfId="1871" priority="597">
      <formula>$G40="卖出"</formula>
    </cfRule>
  </conditionalFormatting>
  <conditionalFormatting sqref="A137">
    <cfRule type="expression" dxfId="1870" priority="563">
      <formula>$G137="卖出"</formula>
    </cfRule>
  </conditionalFormatting>
  <conditionalFormatting sqref="B137">
    <cfRule type="expression" dxfId="1869" priority="562">
      <formula>$G137="卖出"</formula>
    </cfRule>
  </conditionalFormatting>
  <conditionalFormatting sqref="D137">
    <cfRule type="expression" dxfId="1868" priority="559">
      <formula>$G137="卖出"</formula>
    </cfRule>
  </conditionalFormatting>
  <conditionalFormatting sqref="O137">
    <cfRule type="expression" dxfId="1867" priority="549">
      <formula>$G137="卖出"</formula>
    </cfRule>
  </conditionalFormatting>
  <conditionalFormatting sqref="C70 C65 C67:C68">
    <cfRule type="duplicateValues" dxfId="1866" priority="1018"/>
  </conditionalFormatting>
  <conditionalFormatting sqref="C66">
    <cfRule type="duplicateValues" dxfId="1865" priority="1043"/>
  </conditionalFormatting>
  <conditionalFormatting sqref="C78:C79 C74 C57:C63 C39:C55">
    <cfRule type="duplicateValues" dxfId="1864" priority="1047"/>
  </conditionalFormatting>
  <conditionalFormatting sqref="K64:M64">
    <cfRule type="expression" dxfId="1863" priority="516">
      <formula>$G64="卖出"</formula>
    </cfRule>
  </conditionalFormatting>
  <conditionalFormatting sqref="E64:H64">
    <cfRule type="expression" dxfId="1862" priority="515">
      <formula>$G64="卖出"</formula>
    </cfRule>
  </conditionalFormatting>
  <conditionalFormatting sqref="E64:H64">
    <cfRule type="duplicateValues" dxfId="1861" priority="514"/>
  </conditionalFormatting>
  <conditionalFormatting sqref="I64:J64">
    <cfRule type="expression" dxfId="1860" priority="513">
      <formula>$G64="卖出"</formula>
    </cfRule>
  </conditionalFormatting>
  <conditionalFormatting sqref="M67">
    <cfRule type="expression" dxfId="1859" priority="488">
      <formula>$G67="卖出"</formula>
    </cfRule>
  </conditionalFormatting>
  <conditionalFormatting sqref="E67:L67 N67:O67">
    <cfRule type="expression" dxfId="1858" priority="489">
      <formula>$G67="卖出"</formula>
    </cfRule>
  </conditionalFormatting>
  <conditionalFormatting sqref="M75:M76">
    <cfRule type="expression" dxfId="1857" priority="476">
      <formula>$G75="卖出"</formula>
    </cfRule>
  </conditionalFormatting>
  <conditionalFormatting sqref="N75:N76">
    <cfRule type="expression" dxfId="1856" priority="475">
      <formula>$G75="卖出"</formula>
    </cfRule>
  </conditionalFormatting>
  <conditionalFormatting sqref="L77">
    <cfRule type="expression" dxfId="1855" priority="474">
      <formula>$G77="卖出"</formula>
    </cfRule>
  </conditionalFormatting>
  <conditionalFormatting sqref="M77">
    <cfRule type="expression" dxfId="1854" priority="473">
      <formula>$G77="卖出"</formula>
    </cfRule>
  </conditionalFormatting>
  <conditionalFormatting sqref="E75:L76">
    <cfRule type="expression" dxfId="1853" priority="477">
      <formula>$G75="卖出"</formula>
    </cfRule>
  </conditionalFormatting>
  <conditionalFormatting sqref="A81:B83 O81:O83 D82:G84">
    <cfRule type="expression" dxfId="1852" priority="472">
      <formula>$G81="卖出"</formula>
    </cfRule>
  </conditionalFormatting>
  <conditionalFormatting sqref="C2:C171">
    <cfRule type="duplicateValues" dxfId="1851" priority="1103"/>
  </conditionalFormatting>
  <conditionalFormatting sqref="H84">
    <cfRule type="expression" dxfId="1850" priority="470">
      <formula>$G84="卖出"</formula>
    </cfRule>
  </conditionalFormatting>
  <conditionalFormatting sqref="L86">
    <cfRule type="expression" dxfId="1849" priority="454">
      <formula>$G86="卖出"</formula>
    </cfRule>
  </conditionalFormatting>
  <conditionalFormatting sqref="M86">
    <cfRule type="expression" dxfId="1848" priority="453">
      <formula>$G86="卖出"</formula>
    </cfRule>
  </conditionalFormatting>
  <conditionalFormatting sqref="O106">
    <cfRule type="expression" dxfId="1847" priority="1117">
      <formula>$G107="卖出"</formula>
    </cfRule>
  </conditionalFormatting>
  <conditionalFormatting sqref="N86">
    <cfRule type="expression" dxfId="1846" priority="452">
      <formula>$G86="卖出"</formula>
    </cfRule>
  </conditionalFormatting>
  <conditionalFormatting sqref="O91">
    <cfRule type="expression" dxfId="1845" priority="441">
      <formula>$G91="卖出"</formula>
    </cfRule>
  </conditionalFormatting>
  <conditionalFormatting sqref="C178 C56 C2 C180:C1048576">
    <cfRule type="duplicateValues" dxfId="1844" priority="1119"/>
  </conditionalFormatting>
  <conditionalFormatting sqref="L87">
    <cfRule type="expression" dxfId="1843" priority="440">
      <formula>$G87="卖出"</formula>
    </cfRule>
  </conditionalFormatting>
  <conditionalFormatting sqref="M87">
    <cfRule type="expression" dxfId="1842" priority="439">
      <formula>$G87="卖出"</formula>
    </cfRule>
  </conditionalFormatting>
  <conditionalFormatting sqref="L79:M80">
    <cfRule type="expression" dxfId="1841" priority="438">
      <formula>$G79="卖出"</formula>
    </cfRule>
  </conditionalFormatting>
  <conditionalFormatting sqref="C81:N81">
    <cfRule type="expression" dxfId="1840" priority="427">
      <formula>$G81="卖出"</formula>
    </cfRule>
  </conditionalFormatting>
  <conditionalFormatting sqref="C92">
    <cfRule type="duplicateValues" dxfId="1839" priority="1155"/>
  </conditionalFormatting>
  <conditionalFormatting sqref="C178 C2:C171 C174:C176 C180:C1048576">
    <cfRule type="duplicateValues" dxfId="1838" priority="1183"/>
  </conditionalFormatting>
  <conditionalFormatting sqref="O120">
    <cfRule type="expression" dxfId="1837" priority="409">
      <formula>$G120="卖出"</formula>
    </cfRule>
  </conditionalFormatting>
  <conditionalFormatting sqref="L99">
    <cfRule type="expression" dxfId="1836" priority="349">
      <formula>$G99="卖出"</formula>
    </cfRule>
  </conditionalFormatting>
  <conditionalFormatting sqref="M99">
    <cfRule type="expression" dxfId="1835" priority="348">
      <formula>$G99="卖出"</formula>
    </cfRule>
  </conditionalFormatting>
  <conditionalFormatting sqref="O99 A99:K99">
    <cfRule type="expression" dxfId="1834" priority="350">
      <formula>$G99="卖出"</formula>
    </cfRule>
  </conditionalFormatting>
  <conditionalFormatting sqref="C99">
    <cfRule type="duplicateValues" dxfId="1833" priority="351"/>
  </conditionalFormatting>
  <conditionalFormatting sqref="C99">
    <cfRule type="duplicateValues" dxfId="1832" priority="352"/>
  </conditionalFormatting>
  <conditionalFormatting sqref="C99">
    <cfRule type="duplicateValues" dxfId="1831" priority="353"/>
  </conditionalFormatting>
  <conditionalFormatting sqref="J74:N74 J73:K73 N73">
    <cfRule type="expression" dxfId="1830" priority="342">
      <formula>$G73="卖出"</formula>
    </cfRule>
  </conditionalFormatting>
  <conditionalFormatting sqref="M73">
    <cfRule type="expression" dxfId="1829" priority="340">
      <formula>$G73="卖出"</formula>
    </cfRule>
  </conditionalFormatting>
  <conditionalFormatting sqref="L73">
    <cfRule type="expression" dxfId="1828" priority="341">
      <formula>$G73="卖出"</formula>
    </cfRule>
  </conditionalFormatting>
  <conditionalFormatting sqref="H73">
    <cfRule type="expression" dxfId="1827" priority="339">
      <formula>$G73="卖出"</formula>
    </cfRule>
  </conditionalFormatting>
  <conditionalFormatting sqref="L104">
    <cfRule type="expression" dxfId="1826" priority="312">
      <formula>$G104="卖出"</formula>
    </cfRule>
  </conditionalFormatting>
  <conditionalFormatting sqref="M104">
    <cfRule type="expression" dxfId="1825" priority="311">
      <formula>$G104="卖出"</formula>
    </cfRule>
  </conditionalFormatting>
  <conditionalFormatting sqref="L102">
    <cfRule type="expression" dxfId="1824" priority="310">
      <formula>$G102="卖出"</formula>
    </cfRule>
  </conditionalFormatting>
  <conditionalFormatting sqref="M102">
    <cfRule type="expression" dxfId="1823" priority="309">
      <formula>$G102="卖出"</formula>
    </cfRule>
  </conditionalFormatting>
  <conditionalFormatting sqref="I102">
    <cfRule type="expression" dxfId="1822" priority="308">
      <formula>$G102="卖出"</formula>
    </cfRule>
  </conditionalFormatting>
  <conditionalFormatting sqref="A102:B102">
    <cfRule type="expression" dxfId="1821" priority="304">
      <formula>$G102="卖出"</formula>
    </cfRule>
  </conditionalFormatting>
  <conditionalFormatting sqref="A102:B102">
    <cfRule type="duplicateValues" dxfId="1820" priority="305"/>
  </conditionalFormatting>
  <conditionalFormatting sqref="A102:B102">
    <cfRule type="duplicateValues" dxfId="1819" priority="306"/>
  </conditionalFormatting>
  <conditionalFormatting sqref="A102:B102">
    <cfRule type="duplicateValues" dxfId="1818" priority="307"/>
  </conditionalFormatting>
  <conditionalFormatting sqref="N98:N100 N102:N115">
    <cfRule type="expression" dxfId="1817" priority="292">
      <formula>$G98="卖出"</formula>
    </cfRule>
  </conditionalFormatting>
  <conditionalFormatting sqref="L100">
    <cfRule type="expression" dxfId="1816" priority="279">
      <formula>$G100="卖出"</formula>
    </cfRule>
  </conditionalFormatting>
  <conditionalFormatting sqref="M100">
    <cfRule type="expression" dxfId="1815" priority="278">
      <formula>$G100="卖出"</formula>
    </cfRule>
  </conditionalFormatting>
  <conditionalFormatting sqref="L128:M128">
    <cfRule type="expression" dxfId="1814" priority="264">
      <formula>$G128="卖出"</formula>
    </cfRule>
  </conditionalFormatting>
  <conditionalFormatting sqref="H128:I128">
    <cfRule type="expression" dxfId="1813" priority="263">
      <formula>$G128="卖出"</formula>
    </cfRule>
  </conditionalFormatting>
  <conditionalFormatting sqref="N128">
    <cfRule type="expression" dxfId="1812" priority="262">
      <formula>$G128="卖出"</formula>
    </cfRule>
  </conditionalFormatting>
  <conditionalFormatting sqref="E129:G129 J129:K129">
    <cfRule type="expression" dxfId="1811" priority="259">
      <formula>$G129="卖出"</formula>
    </cfRule>
  </conditionalFormatting>
  <conditionalFormatting sqref="L129:M129">
    <cfRule type="expression" dxfId="1810" priority="258">
      <formula>$G129="卖出"</formula>
    </cfRule>
  </conditionalFormatting>
  <conditionalFormatting sqref="H129:I129">
    <cfRule type="expression" dxfId="1809" priority="257">
      <formula>$G129="卖出"</formula>
    </cfRule>
  </conditionalFormatting>
  <conditionalFormatting sqref="N129">
    <cfRule type="expression" dxfId="1808" priority="256">
      <formula>$G129="卖出"</formula>
    </cfRule>
  </conditionalFormatting>
  <conditionalFormatting sqref="L88">
    <cfRule type="expression" dxfId="1807" priority="242">
      <formula>$G88="卖出"</formula>
    </cfRule>
  </conditionalFormatting>
  <conditionalFormatting sqref="M88">
    <cfRule type="expression" dxfId="1806" priority="241">
      <formula>$G88="卖出"</formula>
    </cfRule>
  </conditionalFormatting>
  <conditionalFormatting sqref="I88">
    <cfRule type="expression" dxfId="1805" priority="240">
      <formula>$G88="卖出"</formula>
    </cfRule>
  </conditionalFormatting>
  <conditionalFormatting sqref="K130">
    <cfRule type="expression" dxfId="1804" priority="239">
      <formula>$G130="卖出"</formula>
    </cfRule>
  </conditionalFormatting>
  <conditionalFormatting sqref="L130:M130">
    <cfRule type="expression" dxfId="1803" priority="238">
      <formula>$G130="卖出"</formula>
    </cfRule>
  </conditionalFormatting>
  <conditionalFormatting sqref="N130">
    <cfRule type="expression" dxfId="1802" priority="234">
      <formula>$G130="卖出"</formula>
    </cfRule>
  </conditionalFormatting>
  <conditionalFormatting sqref="J130">
    <cfRule type="expression" dxfId="1801" priority="237">
      <formula>$G130="卖出"</formula>
    </cfRule>
  </conditionalFormatting>
  <conditionalFormatting sqref="H130:I130">
    <cfRule type="expression" dxfId="1800" priority="236">
      <formula>$G130="卖出"</formula>
    </cfRule>
  </conditionalFormatting>
  <conditionalFormatting sqref="E130">
    <cfRule type="expression" dxfId="1799" priority="235">
      <formula>$G130="卖出"</formula>
    </cfRule>
  </conditionalFormatting>
  <conditionalFormatting sqref="K131">
    <cfRule type="expression" dxfId="1798" priority="232">
      <formula>$G131="卖出"</formula>
    </cfRule>
  </conditionalFormatting>
  <conditionalFormatting sqref="L131">
    <cfRule type="expression" dxfId="1797" priority="231">
      <formula>$G131="卖出"</formula>
    </cfRule>
  </conditionalFormatting>
  <conditionalFormatting sqref="M131">
    <cfRule type="expression" dxfId="1796" priority="230">
      <formula>$G131="卖出"</formula>
    </cfRule>
  </conditionalFormatting>
  <conditionalFormatting sqref="E131:J131">
    <cfRule type="expression" dxfId="1795" priority="229">
      <formula>$G131="卖出"</formula>
    </cfRule>
  </conditionalFormatting>
  <conditionalFormatting sqref="L127:M127">
    <cfRule type="expression" dxfId="1794" priority="228">
      <formula>$G127="卖出"</formula>
    </cfRule>
  </conditionalFormatting>
  <conditionalFormatting sqref="L105">
    <cfRule type="expression" dxfId="1793" priority="227">
      <formula>$G105="卖出"</formula>
    </cfRule>
  </conditionalFormatting>
  <conditionalFormatting sqref="M105">
    <cfRule type="expression" dxfId="1792" priority="226">
      <formula>$G105="卖出"</formula>
    </cfRule>
  </conditionalFormatting>
  <conditionalFormatting sqref="L125:M125">
    <cfRule type="expression" dxfId="1791" priority="172">
      <formula>$G125="卖出"</formula>
    </cfRule>
  </conditionalFormatting>
  <conditionalFormatting sqref="L137">
    <cfRule type="expression" dxfId="1790" priority="171">
      <formula>$G137="卖出"</formula>
    </cfRule>
  </conditionalFormatting>
  <conditionalFormatting sqref="M137">
    <cfRule type="expression" dxfId="1789" priority="170">
      <formula>$G137="卖出"</formula>
    </cfRule>
  </conditionalFormatting>
  <conditionalFormatting sqref="L124:M124">
    <cfRule type="expression" dxfId="1788" priority="169">
      <formula>$G124="卖出"</formula>
    </cfRule>
  </conditionalFormatting>
  <conditionalFormatting sqref="O176">
    <cfRule type="expression" dxfId="1787" priority="148">
      <formula>$G176="卖出"</formula>
    </cfRule>
  </conditionalFormatting>
  <conditionalFormatting sqref="A176:N176">
    <cfRule type="expression" dxfId="1786" priority="149">
      <formula>$G176="卖出"</formula>
    </cfRule>
  </conditionalFormatting>
  <conditionalFormatting sqref="C176">
    <cfRule type="duplicateValues" dxfId="1785" priority="150"/>
  </conditionalFormatting>
  <conditionalFormatting sqref="C176">
    <cfRule type="duplicateValues" dxfId="1784" priority="151"/>
  </conditionalFormatting>
  <conditionalFormatting sqref="C176">
    <cfRule type="duplicateValues" dxfId="1783" priority="152"/>
  </conditionalFormatting>
  <conditionalFormatting sqref="C176">
    <cfRule type="duplicateValues" dxfId="1782" priority="153"/>
  </conditionalFormatting>
  <conditionalFormatting sqref="N101">
    <cfRule type="expression" dxfId="1781" priority="136">
      <formula>$G101="卖出"</formula>
    </cfRule>
  </conditionalFormatting>
  <conditionalFormatting sqref="L136">
    <cfRule type="expression" dxfId="1780" priority="142">
      <formula>$G136="卖出"</formula>
    </cfRule>
  </conditionalFormatting>
  <conditionalFormatting sqref="M136">
    <cfRule type="expression" dxfId="1779" priority="141">
      <formula>$G136="卖出"</formula>
    </cfRule>
  </conditionalFormatting>
  <conditionalFormatting sqref="A101:B101 N101:O101 D101:K101">
    <cfRule type="expression" dxfId="1778" priority="137">
      <formula>$G101="卖出"</formula>
    </cfRule>
  </conditionalFormatting>
  <conditionalFormatting sqref="L101">
    <cfRule type="expression" dxfId="1777" priority="132">
      <formula>$G101="卖出"</formula>
    </cfRule>
  </conditionalFormatting>
  <conditionalFormatting sqref="M101">
    <cfRule type="expression" dxfId="1776" priority="131">
      <formula>$G101="卖出"</formula>
    </cfRule>
  </conditionalFormatting>
  <conditionalFormatting sqref="L101:M101">
    <cfRule type="expression" dxfId="1775" priority="133">
      <formula>$G101="卖出"</formula>
    </cfRule>
  </conditionalFormatting>
  <conditionalFormatting sqref="L161">
    <cfRule type="expression" dxfId="1774" priority="130">
      <formula>$G161="卖出"</formula>
    </cfRule>
  </conditionalFormatting>
  <conditionalFormatting sqref="M161">
    <cfRule type="expression" dxfId="1773" priority="129">
      <formula>$G161="卖出"</formula>
    </cfRule>
  </conditionalFormatting>
  <conditionalFormatting sqref="A166:B166 D168 D166">
    <cfRule type="expression" dxfId="1772" priority="126">
      <formula>$E166="卖出"</formula>
    </cfRule>
  </conditionalFormatting>
  <conditionalFormatting sqref="C100:C171">
    <cfRule type="expression" dxfId="1771" priority="101">
      <formula>$G100="卖出"</formula>
    </cfRule>
  </conditionalFormatting>
  <conditionalFormatting sqref="C100:C171">
    <cfRule type="duplicateValues" dxfId="1770" priority="100"/>
  </conditionalFormatting>
  <conditionalFormatting sqref="C100:C171">
    <cfRule type="duplicateValues" dxfId="1769" priority="102"/>
  </conditionalFormatting>
  <conditionalFormatting sqref="C100:C171">
    <cfRule type="expression" dxfId="1768" priority="96">
      <formula>$G100="卖出"</formula>
    </cfRule>
  </conditionalFormatting>
  <conditionalFormatting sqref="C100:C171">
    <cfRule type="duplicateValues" dxfId="1767" priority="97"/>
  </conditionalFormatting>
  <conditionalFormatting sqref="C100:C171">
    <cfRule type="duplicateValues" dxfId="1766" priority="98"/>
  </conditionalFormatting>
  <conditionalFormatting sqref="C100:C171">
    <cfRule type="duplicateValues" dxfId="1765" priority="99"/>
  </conditionalFormatting>
  <conditionalFormatting sqref="L108">
    <cfRule type="expression" dxfId="1764" priority="88">
      <formula>$G108="卖出"</formula>
    </cfRule>
  </conditionalFormatting>
  <conditionalFormatting sqref="M108">
    <cfRule type="expression" dxfId="1763" priority="87">
      <formula>$G108="卖出"</formula>
    </cfRule>
  </conditionalFormatting>
  <conditionalFormatting sqref="C2:C171">
    <cfRule type="expression" dxfId="1762" priority="86">
      <formula>$G2="卖出"</formula>
    </cfRule>
  </conditionalFormatting>
  <conditionalFormatting sqref="C173">
    <cfRule type="expression" dxfId="1761" priority="65">
      <formula>$G173="卖出"</formula>
    </cfRule>
  </conditionalFormatting>
  <conditionalFormatting sqref="B173:N173">
    <cfRule type="expression" dxfId="1760" priority="77">
      <formula>$G173="卖出"</formula>
    </cfRule>
  </conditionalFormatting>
  <conditionalFormatting sqref="C173">
    <cfRule type="duplicateValues" dxfId="1759" priority="76"/>
  </conditionalFormatting>
  <conditionalFormatting sqref="C173">
    <cfRule type="duplicateValues" dxfId="1758" priority="78"/>
  </conditionalFormatting>
  <conditionalFormatting sqref="C173">
    <cfRule type="duplicateValues" dxfId="1757" priority="79"/>
  </conditionalFormatting>
  <conditionalFormatting sqref="N173">
    <cfRule type="expression" dxfId="1756" priority="75">
      <formula>$G173="卖出"</formula>
    </cfRule>
  </conditionalFormatting>
  <conditionalFormatting sqref="C173">
    <cfRule type="expression" dxfId="1755" priority="73">
      <formula>$G173="卖出"</formula>
    </cfRule>
  </conditionalFormatting>
  <conditionalFormatting sqref="C173">
    <cfRule type="duplicateValues" dxfId="1754" priority="72"/>
  </conditionalFormatting>
  <conditionalFormatting sqref="C173">
    <cfRule type="duplicateValues" dxfId="1753" priority="74"/>
  </conditionalFormatting>
  <conditionalFormatting sqref="C173">
    <cfRule type="expression" dxfId="1752" priority="68">
      <formula>$G173="卖出"</formula>
    </cfRule>
  </conditionalFormatting>
  <conditionalFormatting sqref="C173">
    <cfRule type="duplicateValues" dxfId="1751" priority="69"/>
  </conditionalFormatting>
  <conditionalFormatting sqref="C173">
    <cfRule type="duplicateValues" dxfId="1750" priority="70"/>
  </conditionalFormatting>
  <conditionalFormatting sqref="C173">
    <cfRule type="duplicateValues" dxfId="1749" priority="71"/>
  </conditionalFormatting>
  <conditionalFormatting sqref="L173">
    <cfRule type="expression" dxfId="1748" priority="67">
      <formula>$G173="卖出"</formula>
    </cfRule>
  </conditionalFormatting>
  <conditionalFormatting sqref="M173">
    <cfRule type="expression" dxfId="1747" priority="66">
      <formula>$G173="卖出"</formula>
    </cfRule>
  </conditionalFormatting>
  <conditionalFormatting sqref="G174:I174">
    <cfRule type="expression" dxfId="1746" priority="63">
      <formula>$G174="卖出"</formula>
    </cfRule>
  </conditionalFormatting>
  <conditionalFormatting sqref="O173">
    <cfRule type="expression" dxfId="1745" priority="62">
      <formula>$G173="卖出"</formula>
    </cfRule>
  </conditionalFormatting>
  <conditionalFormatting sqref="D174">
    <cfRule type="expression" dxfId="1744" priority="61">
      <formula>$G174="卖出"</formula>
    </cfRule>
  </conditionalFormatting>
  <conditionalFormatting sqref="L161">
    <cfRule type="expression" dxfId="1743" priority="59">
      <formula>$G161="卖出"</formula>
    </cfRule>
  </conditionalFormatting>
  <conditionalFormatting sqref="M161">
    <cfRule type="expression" dxfId="1742" priority="58">
      <formula>$G161="卖出"</formula>
    </cfRule>
  </conditionalFormatting>
  <conditionalFormatting sqref="C172">
    <cfRule type="expression" dxfId="1741" priority="40">
      <formula>$G172="卖出"</formula>
    </cfRule>
  </conditionalFormatting>
  <conditionalFormatting sqref="C172">
    <cfRule type="expression" dxfId="1740" priority="39">
      <formula>$G172="卖出"</formula>
    </cfRule>
  </conditionalFormatting>
  <conditionalFormatting sqref="L172">
    <cfRule type="expression" dxfId="1739" priority="38">
      <formula>$G172="卖出"</formula>
    </cfRule>
  </conditionalFormatting>
  <conditionalFormatting sqref="M172">
    <cfRule type="expression" dxfId="1738" priority="37">
      <formula>$G172="卖出"</formula>
    </cfRule>
  </conditionalFormatting>
  <conditionalFormatting sqref="A172:O172">
    <cfRule type="expression" dxfId="1737" priority="50">
      <formula>$G172="卖出"</formula>
    </cfRule>
  </conditionalFormatting>
  <conditionalFormatting sqref="C172">
    <cfRule type="duplicateValues" dxfId="1736" priority="49"/>
  </conditionalFormatting>
  <conditionalFormatting sqref="C172">
    <cfRule type="duplicateValues" dxfId="1735" priority="51"/>
  </conditionalFormatting>
  <conditionalFormatting sqref="C172">
    <cfRule type="duplicateValues" dxfId="1734" priority="52"/>
  </conditionalFormatting>
  <conditionalFormatting sqref="L172">
    <cfRule type="expression" dxfId="1733" priority="48">
      <formula>$G172="卖出"</formula>
    </cfRule>
  </conditionalFormatting>
  <conditionalFormatting sqref="M172">
    <cfRule type="expression" dxfId="1732" priority="47">
      <formula>$G172="卖出"</formula>
    </cfRule>
  </conditionalFormatting>
  <conditionalFormatting sqref="C172">
    <cfRule type="expression" dxfId="1731" priority="45">
      <formula>$G172="卖出"</formula>
    </cfRule>
  </conditionalFormatting>
  <conditionalFormatting sqref="C172">
    <cfRule type="duplicateValues" dxfId="1730" priority="44"/>
  </conditionalFormatting>
  <conditionalFormatting sqref="C172">
    <cfRule type="duplicateValues" dxfId="1729" priority="46"/>
  </conditionalFormatting>
  <conditionalFormatting sqref="C172">
    <cfRule type="duplicateValues" dxfId="1728" priority="41"/>
  </conditionalFormatting>
  <conditionalFormatting sqref="C172">
    <cfRule type="duplicateValues" dxfId="1727" priority="42"/>
  </conditionalFormatting>
  <conditionalFormatting sqref="C172">
    <cfRule type="duplicateValues" dxfId="1726" priority="43"/>
  </conditionalFormatting>
  <conditionalFormatting sqref="L165">
    <cfRule type="expression" dxfId="1725" priority="36">
      <formula>$G165="卖出"</formula>
    </cfRule>
  </conditionalFormatting>
  <conditionalFormatting sqref="M165">
    <cfRule type="expression" dxfId="1724" priority="35">
      <formula>$G165="卖出"</formula>
    </cfRule>
  </conditionalFormatting>
  <conditionalFormatting sqref="L165">
    <cfRule type="expression" dxfId="1723" priority="34">
      <formula>$G165="卖出"</formula>
    </cfRule>
  </conditionalFormatting>
  <conditionalFormatting sqref="M165">
    <cfRule type="expression" dxfId="1722" priority="33">
      <formula>$G165="卖出"</formula>
    </cfRule>
  </conditionalFormatting>
  <conditionalFormatting sqref="L65">
    <cfRule type="expression" dxfId="1721" priority="32">
      <formula>$G65="卖出"</formula>
    </cfRule>
  </conditionalFormatting>
  <conditionalFormatting sqref="M65">
    <cfRule type="expression" dxfId="1720" priority="31">
      <formula>$G65="卖出"</formula>
    </cfRule>
  </conditionalFormatting>
  <conditionalFormatting sqref="C174:C176 C2:C171">
    <cfRule type="duplicateValues" dxfId="1719" priority="2739"/>
  </conditionalFormatting>
  <conditionalFormatting sqref="C174:C175">
    <cfRule type="duplicateValues" dxfId="1718" priority="2747"/>
  </conditionalFormatting>
  <conditionalFormatting sqref="L138">
    <cfRule type="expression" dxfId="1717" priority="26">
      <formula>$G138="卖出"</formula>
    </cfRule>
  </conditionalFormatting>
  <conditionalFormatting sqref="M138">
    <cfRule type="expression" dxfId="1716" priority="25">
      <formula>$G138="卖出"</formula>
    </cfRule>
  </conditionalFormatting>
  <conditionalFormatting sqref="L138">
    <cfRule type="expression" dxfId="1715" priority="24">
      <formula>$G138="卖出"</formula>
    </cfRule>
  </conditionalFormatting>
  <conditionalFormatting sqref="M138">
    <cfRule type="expression" dxfId="1714" priority="23">
      <formula>$G138="卖出"</formula>
    </cfRule>
  </conditionalFormatting>
  <conditionalFormatting sqref="L115">
    <cfRule type="expression" dxfId="1713" priority="22">
      <formula>$G115="卖出"</formula>
    </cfRule>
  </conditionalFormatting>
  <conditionalFormatting sqref="M115">
    <cfRule type="expression" dxfId="1712" priority="21">
      <formula>$G115="卖出"</formula>
    </cfRule>
  </conditionalFormatting>
  <conditionalFormatting sqref="C179">
    <cfRule type="expression" dxfId="1711" priority="18">
      <formula>$G179="卖出"</formula>
    </cfRule>
  </conditionalFormatting>
  <conditionalFormatting sqref="C179">
    <cfRule type="duplicateValues" dxfId="1710" priority="19"/>
  </conditionalFormatting>
  <conditionalFormatting sqref="O179">
    <cfRule type="expression" dxfId="1709" priority="12">
      <formula>$G179="卖出"</formula>
    </cfRule>
  </conditionalFormatting>
  <conditionalFormatting sqref="A179:N179">
    <cfRule type="expression" dxfId="1708" priority="13">
      <formula>$G179="卖出"</formula>
    </cfRule>
  </conditionalFormatting>
  <conditionalFormatting sqref="C179">
    <cfRule type="duplicateValues" dxfId="1707" priority="14"/>
  </conditionalFormatting>
  <conditionalFormatting sqref="C179">
    <cfRule type="duplicateValues" dxfId="1706" priority="15"/>
  </conditionalFormatting>
  <conditionalFormatting sqref="C179">
    <cfRule type="duplicateValues" dxfId="1705" priority="16"/>
  </conditionalFormatting>
  <conditionalFormatting sqref="C179">
    <cfRule type="duplicateValues" dxfId="1704" priority="17"/>
  </conditionalFormatting>
  <conditionalFormatting sqref="C179">
    <cfRule type="duplicateValues" dxfId="1703" priority="20"/>
  </conditionalFormatting>
  <conditionalFormatting sqref="L164">
    <cfRule type="expression" dxfId="1702" priority="11">
      <formula>$G164="卖出"</formula>
    </cfRule>
  </conditionalFormatting>
  <conditionalFormatting sqref="M164">
    <cfRule type="expression" dxfId="1701" priority="10">
      <formula>$G164="卖出"</formula>
    </cfRule>
  </conditionalFormatting>
  <conditionalFormatting sqref="L164">
    <cfRule type="expression" dxfId="1700" priority="9">
      <formula>$G164="卖出"</formula>
    </cfRule>
  </conditionalFormatting>
  <conditionalFormatting sqref="M164">
    <cfRule type="expression" dxfId="1699" priority="8">
      <formula>$G164="卖出"</formula>
    </cfRule>
  </conditionalFormatting>
  <conditionalFormatting sqref="A177:H177 J177:O177">
    <cfRule type="expression" dxfId="1698" priority="3">
      <formula>$G177="卖出"</formula>
    </cfRule>
  </conditionalFormatting>
  <conditionalFormatting sqref="C177">
    <cfRule type="duplicateValues" dxfId="1697" priority="4"/>
  </conditionalFormatting>
  <conditionalFormatting sqref="C177">
    <cfRule type="duplicateValues" dxfId="1696" priority="5"/>
  </conditionalFormatting>
  <conditionalFormatting sqref="C177">
    <cfRule type="duplicateValues" dxfId="1695" priority="6"/>
  </conditionalFormatting>
  <conditionalFormatting sqref="C177">
    <cfRule type="expression" dxfId="1694" priority="2">
      <formula>$G177="卖出"</formula>
    </cfRule>
  </conditionalFormatting>
  <conditionalFormatting sqref="C177">
    <cfRule type="duplicateValues" dxfId="1693" priority="7"/>
  </conditionalFormatting>
  <conditionalFormatting sqref="I177">
    <cfRule type="expression" dxfId="1692" priority="1">
      <formula>$G177="卖出"</formula>
    </cfRule>
  </conditionalFormatting>
  <dataValidations count="3">
    <dataValidation type="list" allowBlank="1" showInputMessage="1" showErrorMessage="1" sqref="D2:D159 D161:D177 D179" xr:uid="{004EEDB0-E115-43A5-B048-2BDADCA3EB88}">
      <formula1>"全新,内袋未拆,拆摆,待定"</formula1>
    </dataValidation>
    <dataValidation type="list" allowBlank="1" showInputMessage="1" showErrorMessage="1" sqref="D160 D166:D172" xr:uid="{43DBF25A-C2CF-4B8A-ACB7-26AC139737A1}">
      <formula1>"全新,拆摆,待定"</formula1>
    </dataValidation>
    <dataValidation type="list" allowBlank="1" showInputMessage="1" showErrorMessage="1" sqref="G1:G1048576" xr:uid="{F7D522E6-9071-4EBB-9627-ACFC5E70967F}">
      <formula1>"留存,卖出"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9018-C9A2-4BA2-9F34-7D7D73F604C5}">
  <sheetPr codeName="Sheet2"/>
  <dimension ref="A1:P146"/>
  <sheetViews>
    <sheetView workbookViewId="0">
      <pane ySplit="1" topLeftCell="A122" activePane="bottomLeft" state="frozen"/>
      <selection pane="bottomLeft" activeCell="I140" sqref="I140"/>
    </sheetView>
  </sheetViews>
  <sheetFormatPr defaultRowHeight="14.4"/>
  <cols>
    <col min="1" max="1" width="36.44140625" bestFit="1" customWidth="1"/>
    <col min="2" max="2" width="15.33203125" bestFit="1" customWidth="1"/>
    <col min="3" max="3" width="28.109375" bestFit="1" customWidth="1"/>
    <col min="12" max="12" width="11" style="4" bestFit="1" customWidth="1"/>
    <col min="13" max="13" width="19.33203125" bestFit="1" customWidth="1"/>
    <col min="15" max="15" width="12" bestFit="1" customWidth="1"/>
  </cols>
  <sheetData>
    <row r="1" spans="1:16" ht="16.2">
      <c r="A1" s="9" t="s">
        <v>12</v>
      </c>
      <c r="B1" s="9" t="s">
        <v>31</v>
      </c>
      <c r="C1" s="9" t="s">
        <v>0</v>
      </c>
      <c r="D1" s="9" t="s">
        <v>7</v>
      </c>
      <c r="E1" s="9" t="s">
        <v>1</v>
      </c>
      <c r="F1" s="9" t="s">
        <v>6</v>
      </c>
      <c r="G1" s="9" t="s">
        <v>2</v>
      </c>
      <c r="H1" s="9" t="s">
        <v>11</v>
      </c>
      <c r="I1" s="9" t="s">
        <v>279</v>
      </c>
      <c r="J1" s="9" t="s">
        <v>3</v>
      </c>
      <c r="K1" s="9" t="s">
        <v>280</v>
      </c>
      <c r="L1" s="9" t="s">
        <v>267</v>
      </c>
      <c r="M1" s="9" t="s">
        <v>22</v>
      </c>
    </row>
    <row r="2" spans="1:16" ht="15.6">
      <c r="A2" s="1" t="s">
        <v>27</v>
      </c>
      <c r="B2" s="1" t="s">
        <v>231</v>
      </c>
      <c r="C2" s="1" t="s">
        <v>28</v>
      </c>
      <c r="D2" s="1" t="s">
        <v>8</v>
      </c>
      <c r="E2" s="6">
        <v>330</v>
      </c>
      <c r="F2" s="6"/>
      <c r="G2" s="6" t="s">
        <v>5</v>
      </c>
      <c r="H2" s="6">
        <f t="shared" ref="H2:H33" si="0">(E2+F2)</f>
        <v>330</v>
      </c>
      <c r="I2" s="6"/>
      <c r="J2" s="6"/>
      <c r="K2" s="6"/>
      <c r="L2" s="12"/>
      <c r="M2" s="10"/>
      <c r="N2" s="6"/>
      <c r="O2" s="8" t="s">
        <v>16</v>
      </c>
      <c r="P2" s="15">
        <f>SUM(H:H)</f>
        <v>52787</v>
      </c>
    </row>
    <row r="3" spans="1:16" ht="15.6">
      <c r="A3" s="1" t="s">
        <v>13</v>
      </c>
      <c r="B3" s="1" t="s">
        <v>93</v>
      </c>
      <c r="C3" s="1" t="s">
        <v>58</v>
      </c>
      <c r="D3" s="1" t="s">
        <v>9</v>
      </c>
      <c r="E3" s="6">
        <v>580</v>
      </c>
      <c r="F3" s="6"/>
      <c r="G3" s="6" t="s">
        <v>5</v>
      </c>
      <c r="H3" s="6">
        <f t="shared" si="0"/>
        <v>580</v>
      </c>
      <c r="I3" s="6"/>
      <c r="J3" s="6"/>
      <c r="K3" s="6"/>
      <c r="L3" s="12"/>
      <c r="M3" s="10"/>
      <c r="N3" s="6"/>
      <c r="O3" s="8" t="s">
        <v>17</v>
      </c>
      <c r="P3" s="15">
        <f>SUM(J:J)</f>
        <v>5066</v>
      </c>
    </row>
    <row r="4" spans="1:16" ht="15.6">
      <c r="A4" s="1" t="s">
        <v>13</v>
      </c>
      <c r="B4" s="1" t="s">
        <v>38</v>
      </c>
      <c r="C4" s="1" t="s">
        <v>59</v>
      </c>
      <c r="D4" s="1" t="s">
        <v>8</v>
      </c>
      <c r="E4" s="6">
        <v>350</v>
      </c>
      <c r="F4" s="6">
        <v>45</v>
      </c>
      <c r="G4" s="6" t="s">
        <v>5</v>
      </c>
      <c r="H4" s="6">
        <f t="shared" si="0"/>
        <v>395</v>
      </c>
      <c r="I4" s="6"/>
      <c r="J4" s="6"/>
      <c r="K4" s="6"/>
      <c r="L4" s="12"/>
      <c r="M4" s="10" t="s">
        <v>697</v>
      </c>
      <c r="N4" s="6"/>
      <c r="O4" s="2" t="s">
        <v>281</v>
      </c>
      <c r="P4" s="15">
        <f>SUM(I:I)</f>
        <v>4786</v>
      </c>
    </row>
    <row r="5" spans="1:16" ht="15.6">
      <c r="A5" s="1" t="s">
        <v>13</v>
      </c>
      <c r="B5" s="1" t="s">
        <v>38</v>
      </c>
      <c r="C5" s="1" t="s">
        <v>320</v>
      </c>
      <c r="D5" s="1" t="s">
        <v>8</v>
      </c>
      <c r="E5" s="6">
        <v>168</v>
      </c>
      <c r="F5" s="6"/>
      <c r="G5" s="6" t="s">
        <v>319</v>
      </c>
      <c r="H5" s="6">
        <f t="shared" si="0"/>
        <v>168</v>
      </c>
      <c r="I5" s="6"/>
      <c r="J5" s="6"/>
      <c r="K5" s="6"/>
      <c r="L5" s="12"/>
      <c r="M5" s="10"/>
      <c r="N5" s="6"/>
      <c r="O5" s="8" t="s">
        <v>280</v>
      </c>
      <c r="P5" s="15">
        <f>SUM(K:K)</f>
        <v>280</v>
      </c>
    </row>
    <row r="6" spans="1:16" ht="15.6">
      <c r="A6" s="1" t="s">
        <v>14</v>
      </c>
      <c r="B6" s="1" t="s">
        <v>38</v>
      </c>
      <c r="C6" s="1" t="s">
        <v>321</v>
      </c>
      <c r="D6" s="1" t="s">
        <v>8</v>
      </c>
      <c r="E6" s="6">
        <v>214</v>
      </c>
      <c r="F6" s="6"/>
      <c r="G6" s="6" t="s">
        <v>5</v>
      </c>
      <c r="H6" s="6">
        <f t="shared" si="0"/>
        <v>214</v>
      </c>
      <c r="I6" s="6"/>
      <c r="J6" s="6"/>
      <c r="K6" s="6"/>
      <c r="L6" s="12"/>
      <c r="M6" s="10"/>
      <c r="N6" s="6"/>
      <c r="O6" s="2" t="s">
        <v>267</v>
      </c>
      <c r="P6" s="16">
        <f>ROUND(P5/P4,4)</f>
        <v>5.8500000000000003E-2</v>
      </c>
    </row>
    <row r="7" spans="1:16" ht="15.6">
      <c r="A7" s="1" t="s">
        <v>14</v>
      </c>
      <c r="B7" s="1" t="s">
        <v>38</v>
      </c>
      <c r="C7" s="1" t="s">
        <v>322</v>
      </c>
      <c r="D7" s="1" t="s">
        <v>8</v>
      </c>
      <c r="E7" s="6">
        <v>200</v>
      </c>
      <c r="F7" s="6"/>
      <c r="G7" s="6" t="s">
        <v>5</v>
      </c>
      <c r="H7" s="6">
        <f t="shared" si="0"/>
        <v>200</v>
      </c>
      <c r="I7" s="6"/>
      <c r="J7" s="6"/>
      <c r="K7" s="6"/>
      <c r="L7" s="12"/>
      <c r="M7" s="10"/>
      <c r="N7" s="6"/>
      <c r="O7" s="8" t="s">
        <v>18</v>
      </c>
      <c r="P7" s="15">
        <f>P2-P3</f>
        <v>47721</v>
      </c>
    </row>
    <row r="8" spans="1:16" ht="15.6">
      <c r="A8" s="1" t="s">
        <v>14</v>
      </c>
      <c r="B8" s="1" t="s">
        <v>38</v>
      </c>
      <c r="C8" s="1" t="s">
        <v>323</v>
      </c>
      <c r="D8" s="1" t="s">
        <v>8</v>
      </c>
      <c r="E8" s="6">
        <v>229</v>
      </c>
      <c r="F8" s="6"/>
      <c r="G8" s="6" t="s">
        <v>5</v>
      </c>
      <c r="H8" s="6">
        <f t="shared" si="0"/>
        <v>229</v>
      </c>
      <c r="I8" s="6"/>
      <c r="J8" s="6"/>
      <c r="K8" s="6"/>
      <c r="L8" s="12"/>
      <c r="M8" s="10"/>
      <c r="N8" s="6"/>
      <c r="O8" s="6"/>
      <c r="P8" s="6"/>
    </row>
    <row r="9" spans="1:16" ht="15.6">
      <c r="A9" s="1" t="s">
        <v>13</v>
      </c>
      <c r="B9" s="1" t="s">
        <v>38</v>
      </c>
      <c r="C9" s="1" t="s">
        <v>324</v>
      </c>
      <c r="D9" s="1" t="s">
        <v>9</v>
      </c>
      <c r="E9" s="6">
        <v>58</v>
      </c>
      <c r="F9" s="6"/>
      <c r="G9" s="6" t="s">
        <v>5</v>
      </c>
      <c r="H9" s="6">
        <f t="shared" si="0"/>
        <v>58</v>
      </c>
      <c r="I9" s="6"/>
      <c r="J9" s="6"/>
      <c r="K9" s="6"/>
      <c r="L9" s="12"/>
      <c r="M9" s="10"/>
      <c r="N9" s="6"/>
      <c r="O9" s="6"/>
      <c r="P9" s="6"/>
    </row>
    <row r="10" spans="1:16" ht="15.6">
      <c r="A10" s="1" t="s">
        <v>13</v>
      </c>
      <c r="B10" s="1" t="s">
        <v>61</v>
      </c>
      <c r="C10" s="1" t="s">
        <v>30</v>
      </c>
      <c r="D10" s="1" t="s">
        <v>8</v>
      </c>
      <c r="E10" s="6">
        <v>185</v>
      </c>
      <c r="F10" s="6"/>
      <c r="G10" s="6" t="s">
        <v>5</v>
      </c>
      <c r="H10" s="6">
        <f t="shared" si="0"/>
        <v>185</v>
      </c>
      <c r="I10" s="6"/>
      <c r="J10" s="6"/>
      <c r="K10" s="6"/>
      <c r="L10" s="12"/>
      <c r="M10" s="10"/>
      <c r="N10" s="6"/>
      <c r="O10" s="6"/>
      <c r="P10" s="6"/>
    </row>
    <row r="11" spans="1:16" ht="15.6">
      <c r="A11" s="1" t="s">
        <v>13</v>
      </c>
      <c r="B11" s="1" t="s">
        <v>38</v>
      </c>
      <c r="C11" s="1" t="s">
        <v>325</v>
      </c>
      <c r="D11" s="1" t="s">
        <v>9</v>
      </c>
      <c r="E11" s="6">
        <v>1266</v>
      </c>
      <c r="F11" s="6"/>
      <c r="G11" s="6" t="s">
        <v>5</v>
      </c>
      <c r="H11" s="6">
        <f t="shared" si="0"/>
        <v>1266</v>
      </c>
      <c r="I11" s="6"/>
      <c r="J11" s="6"/>
      <c r="K11" s="6"/>
      <c r="L11" s="12"/>
      <c r="M11" s="10"/>
      <c r="N11" s="6"/>
      <c r="O11" s="6"/>
      <c r="P11" s="6"/>
    </row>
    <row r="12" spans="1:16" ht="15.6">
      <c r="A12" s="1" t="s">
        <v>13</v>
      </c>
      <c r="B12" s="1" t="s">
        <v>38</v>
      </c>
      <c r="C12" s="1" t="s">
        <v>326</v>
      </c>
      <c r="D12" s="1" t="s">
        <v>8</v>
      </c>
      <c r="E12" s="6">
        <v>1079</v>
      </c>
      <c r="F12" s="6"/>
      <c r="G12" s="6" t="s">
        <v>5</v>
      </c>
      <c r="H12" s="6">
        <f t="shared" si="0"/>
        <v>1079</v>
      </c>
      <c r="I12" s="6"/>
      <c r="J12" s="6"/>
      <c r="K12" s="6"/>
      <c r="L12" s="12"/>
      <c r="M12" s="10"/>
      <c r="N12" s="6"/>
      <c r="O12" s="6"/>
      <c r="P12" s="6"/>
    </row>
    <row r="13" spans="1:16" ht="15.6">
      <c r="A13" s="1" t="s">
        <v>13</v>
      </c>
      <c r="B13" s="1" t="s">
        <v>92</v>
      </c>
      <c r="C13" s="1" t="s">
        <v>62</v>
      </c>
      <c r="D13" s="1" t="s">
        <v>8</v>
      </c>
      <c r="E13" s="6">
        <v>225</v>
      </c>
      <c r="F13" s="6"/>
      <c r="G13" s="6" t="s">
        <v>5</v>
      </c>
      <c r="H13" s="6">
        <f t="shared" si="0"/>
        <v>225</v>
      </c>
      <c r="I13" s="6"/>
      <c r="J13" s="6"/>
      <c r="K13" s="6"/>
      <c r="L13" s="12"/>
      <c r="M13" s="10"/>
      <c r="N13" s="6"/>
      <c r="O13" s="6"/>
      <c r="P13" s="6"/>
    </row>
    <row r="14" spans="1:16" ht="15.6">
      <c r="A14" s="1" t="s">
        <v>13</v>
      </c>
      <c r="B14" s="1" t="s">
        <v>90</v>
      </c>
      <c r="C14" s="1" t="s">
        <v>63</v>
      </c>
      <c r="D14" s="1" t="s">
        <v>8</v>
      </c>
      <c r="E14" s="6">
        <v>226</v>
      </c>
      <c r="F14" s="6">
        <v>11</v>
      </c>
      <c r="G14" s="6" t="s">
        <v>5</v>
      </c>
      <c r="H14" s="6">
        <f t="shared" si="0"/>
        <v>237</v>
      </c>
      <c r="I14" s="6"/>
      <c r="J14" s="6"/>
      <c r="K14" s="6"/>
      <c r="L14" s="12"/>
      <c r="M14" s="10"/>
      <c r="N14" s="6"/>
      <c r="O14" s="6"/>
      <c r="P14" s="6"/>
    </row>
    <row r="15" spans="1:16" ht="15.6">
      <c r="A15" s="1" t="s">
        <v>13</v>
      </c>
      <c r="B15" s="1" t="s">
        <v>90</v>
      </c>
      <c r="C15" s="1" t="s">
        <v>64</v>
      </c>
      <c r="D15" s="1" t="s">
        <v>8</v>
      </c>
      <c r="E15" s="6">
        <v>226</v>
      </c>
      <c r="F15" s="6">
        <v>11</v>
      </c>
      <c r="G15" s="6" t="s">
        <v>5</v>
      </c>
      <c r="H15" s="6">
        <f t="shared" si="0"/>
        <v>237</v>
      </c>
      <c r="I15" s="6"/>
      <c r="J15" s="6"/>
      <c r="K15" s="6"/>
      <c r="L15" s="12"/>
      <c r="M15" s="10"/>
      <c r="N15" s="6"/>
      <c r="O15" s="6"/>
      <c r="P15" s="6"/>
    </row>
    <row r="16" spans="1:16" ht="15.6">
      <c r="A16" s="1" t="s">
        <v>13</v>
      </c>
      <c r="B16" s="1" t="s">
        <v>38</v>
      </c>
      <c r="C16" s="1" t="s">
        <v>327</v>
      </c>
      <c r="D16" s="1" t="s">
        <v>9</v>
      </c>
      <c r="E16" s="6">
        <v>279</v>
      </c>
      <c r="F16" s="6"/>
      <c r="G16" s="6" t="s">
        <v>5</v>
      </c>
      <c r="H16" s="6">
        <f t="shared" si="0"/>
        <v>279</v>
      </c>
      <c r="I16" s="6"/>
      <c r="J16" s="6"/>
      <c r="K16" s="6"/>
      <c r="L16" s="12"/>
      <c r="M16" s="10"/>
      <c r="N16" s="6"/>
      <c r="O16" s="6"/>
      <c r="P16" s="6"/>
    </row>
    <row r="17" spans="1:16" ht="15.6">
      <c r="A17" s="1" t="s">
        <v>13</v>
      </c>
      <c r="B17" s="1" t="s">
        <v>38</v>
      </c>
      <c r="C17" s="1" t="s">
        <v>328</v>
      </c>
      <c r="D17" s="1" t="s">
        <v>9</v>
      </c>
      <c r="E17" s="6">
        <v>186</v>
      </c>
      <c r="F17" s="6"/>
      <c r="G17" s="6" t="s">
        <v>5</v>
      </c>
      <c r="H17" s="6">
        <f t="shared" si="0"/>
        <v>186</v>
      </c>
      <c r="I17" s="6"/>
      <c r="J17" s="6"/>
      <c r="K17" s="6"/>
      <c r="L17" s="12"/>
      <c r="M17" s="10"/>
      <c r="N17" s="6"/>
      <c r="O17" s="6"/>
      <c r="P17" s="6"/>
    </row>
    <row r="18" spans="1:16" ht="15.6">
      <c r="A18" s="1" t="s">
        <v>14</v>
      </c>
      <c r="B18" s="1" t="s">
        <v>77</v>
      </c>
      <c r="C18" s="1" t="s">
        <v>65</v>
      </c>
      <c r="D18" s="1" t="s">
        <v>8</v>
      </c>
      <c r="E18" s="6">
        <v>50</v>
      </c>
      <c r="F18" s="6"/>
      <c r="G18" s="6" t="s">
        <v>5</v>
      </c>
      <c r="H18" s="6">
        <f t="shared" si="0"/>
        <v>50</v>
      </c>
      <c r="I18" s="6"/>
      <c r="J18" s="6"/>
      <c r="K18" s="6"/>
      <c r="L18" s="12"/>
      <c r="M18" s="10"/>
      <c r="N18" s="6"/>
      <c r="O18" s="6"/>
      <c r="P18" s="6"/>
    </row>
    <row r="19" spans="1:16" ht="15.6">
      <c r="A19" s="1" t="s">
        <v>13</v>
      </c>
      <c r="B19" s="1" t="s">
        <v>67</v>
      </c>
      <c r="C19" s="1" t="s">
        <v>66</v>
      </c>
      <c r="D19" s="1" t="s">
        <v>9</v>
      </c>
      <c r="E19" s="6">
        <v>560</v>
      </c>
      <c r="F19" s="6"/>
      <c r="G19" s="6" t="s">
        <v>5</v>
      </c>
      <c r="H19" s="6">
        <f t="shared" si="0"/>
        <v>560</v>
      </c>
      <c r="I19" s="6"/>
      <c r="J19" s="6"/>
      <c r="K19" s="6"/>
      <c r="L19" s="12"/>
      <c r="M19" s="10"/>
      <c r="N19" s="6"/>
      <c r="O19" s="6"/>
      <c r="P19" s="6"/>
    </row>
    <row r="20" spans="1:16" ht="15.6">
      <c r="A20" s="1" t="s">
        <v>13</v>
      </c>
      <c r="B20" s="1" t="s">
        <v>38</v>
      </c>
      <c r="C20" s="1" t="s">
        <v>68</v>
      </c>
      <c r="D20" s="1" t="s">
        <v>9</v>
      </c>
      <c r="E20" s="6">
        <v>700</v>
      </c>
      <c r="F20" s="6"/>
      <c r="G20" s="6" t="s">
        <v>5</v>
      </c>
      <c r="H20" s="6">
        <f t="shared" si="0"/>
        <v>700</v>
      </c>
      <c r="I20" s="6"/>
      <c r="J20" s="6"/>
      <c r="K20" s="6"/>
      <c r="L20" s="12"/>
      <c r="M20" s="10"/>
      <c r="N20" s="6"/>
      <c r="O20" s="6"/>
      <c r="P20" s="6"/>
    </row>
    <row r="21" spans="1:16" ht="15.6">
      <c r="A21" s="1" t="s">
        <v>13</v>
      </c>
      <c r="B21" s="1" t="s">
        <v>69</v>
      </c>
      <c r="C21" s="1" t="s">
        <v>70</v>
      </c>
      <c r="D21" s="1" t="s">
        <v>8</v>
      </c>
      <c r="E21" s="6">
        <v>298</v>
      </c>
      <c r="F21" s="6">
        <v>20</v>
      </c>
      <c r="G21" s="6" t="s">
        <v>5</v>
      </c>
      <c r="H21" s="6">
        <f t="shared" si="0"/>
        <v>318</v>
      </c>
      <c r="I21" s="6"/>
      <c r="J21" s="6"/>
      <c r="K21" s="6"/>
      <c r="L21" s="12"/>
      <c r="M21" s="10"/>
      <c r="N21" s="6"/>
      <c r="O21" s="6"/>
      <c r="P21" s="6"/>
    </row>
    <row r="22" spans="1:16" ht="15.6">
      <c r="A22" s="1" t="s">
        <v>13</v>
      </c>
      <c r="B22" s="1" t="s">
        <v>71</v>
      </c>
      <c r="C22" s="1" t="s">
        <v>32</v>
      </c>
      <c r="D22" s="1" t="s">
        <v>8</v>
      </c>
      <c r="E22" s="6">
        <v>500</v>
      </c>
      <c r="F22" s="6"/>
      <c r="G22" s="6" t="s">
        <v>5</v>
      </c>
      <c r="H22" s="6">
        <f t="shared" si="0"/>
        <v>500</v>
      </c>
      <c r="I22" s="6"/>
      <c r="J22" s="6"/>
      <c r="K22" s="6"/>
      <c r="L22" s="12"/>
      <c r="M22" s="10"/>
      <c r="N22" s="6"/>
      <c r="O22" s="6"/>
      <c r="P22" s="6"/>
    </row>
    <row r="23" spans="1:16" ht="15.6">
      <c r="A23" s="1" t="s">
        <v>13</v>
      </c>
      <c r="B23" s="1" t="s">
        <v>38</v>
      </c>
      <c r="C23" s="1" t="s">
        <v>1155</v>
      </c>
      <c r="D23" s="1" t="s">
        <v>9</v>
      </c>
      <c r="E23" s="6">
        <v>300</v>
      </c>
      <c r="F23" s="6"/>
      <c r="G23" s="6" t="s">
        <v>5</v>
      </c>
      <c r="H23" s="6">
        <f t="shared" si="0"/>
        <v>300</v>
      </c>
      <c r="I23" s="6"/>
      <c r="J23" s="6"/>
      <c r="K23" s="6"/>
      <c r="L23" s="12"/>
      <c r="M23" s="10"/>
    </row>
    <row r="24" spans="1:16" ht="15.6">
      <c r="A24" s="1" t="s">
        <v>13</v>
      </c>
      <c r="B24" s="1" t="s">
        <v>38</v>
      </c>
      <c r="C24" s="1" t="s">
        <v>389</v>
      </c>
      <c r="D24" s="1" t="s">
        <v>9</v>
      </c>
      <c r="E24" s="6">
        <v>200</v>
      </c>
      <c r="F24" s="6"/>
      <c r="G24" s="6" t="s">
        <v>5</v>
      </c>
      <c r="H24" s="6">
        <f t="shared" si="0"/>
        <v>200</v>
      </c>
      <c r="I24" s="6"/>
      <c r="J24" s="6"/>
      <c r="K24" s="6"/>
      <c r="L24" s="12"/>
      <c r="M24" s="10"/>
    </row>
    <row r="25" spans="1:16" ht="15.6">
      <c r="A25" s="1" t="s">
        <v>13</v>
      </c>
      <c r="B25" s="1" t="s">
        <v>38</v>
      </c>
      <c r="C25" s="1" t="s">
        <v>221</v>
      </c>
      <c r="D25" s="1" t="s">
        <v>9</v>
      </c>
      <c r="E25" s="6">
        <v>100</v>
      </c>
      <c r="F25" s="6"/>
      <c r="G25" s="6" t="s">
        <v>5</v>
      </c>
      <c r="H25" s="6">
        <f t="shared" si="0"/>
        <v>100</v>
      </c>
      <c r="I25" s="6"/>
      <c r="J25" s="6"/>
      <c r="K25" s="6"/>
      <c r="L25" s="12"/>
      <c r="M25" s="10"/>
    </row>
    <row r="26" spans="1:16" ht="15.6">
      <c r="A26" s="1" t="s">
        <v>13</v>
      </c>
      <c r="B26" s="1" t="s">
        <v>38</v>
      </c>
      <c r="C26" s="1" t="s">
        <v>72</v>
      </c>
      <c r="D26" s="1" t="s">
        <v>9</v>
      </c>
      <c r="E26" s="6">
        <v>1218</v>
      </c>
      <c r="F26" s="6"/>
      <c r="G26" s="6" t="s">
        <v>116</v>
      </c>
      <c r="H26" s="6">
        <f t="shared" si="0"/>
        <v>1218</v>
      </c>
      <c r="I26" s="6">
        <v>1218</v>
      </c>
      <c r="J26" s="6">
        <v>1179</v>
      </c>
      <c r="K26" s="6">
        <f>J26-I26</f>
        <v>-39</v>
      </c>
      <c r="L26" s="12">
        <f>K26/I26</f>
        <v>-3.2019704433497539E-2</v>
      </c>
      <c r="M26" s="10"/>
    </row>
    <row r="27" spans="1:16" ht="15.6">
      <c r="A27" s="1" t="s">
        <v>13</v>
      </c>
      <c r="B27" s="1" t="s">
        <v>91</v>
      </c>
      <c r="C27" s="1" t="s">
        <v>1099</v>
      </c>
      <c r="D27" s="1" t="s">
        <v>8</v>
      </c>
      <c r="E27" s="6">
        <v>85</v>
      </c>
      <c r="F27" s="6"/>
      <c r="G27" s="6" t="s">
        <v>5</v>
      </c>
      <c r="H27" s="6">
        <f t="shared" si="0"/>
        <v>85</v>
      </c>
      <c r="I27" s="6"/>
      <c r="J27" s="6"/>
      <c r="K27" s="6"/>
      <c r="L27" s="12"/>
      <c r="M27" s="10"/>
    </row>
    <row r="28" spans="1:16" ht="15.6">
      <c r="A28" s="1" t="s">
        <v>13</v>
      </c>
      <c r="B28" s="1" t="s">
        <v>38</v>
      </c>
      <c r="C28" s="1" t="s">
        <v>73</v>
      </c>
      <c r="D28" s="1" t="s">
        <v>8</v>
      </c>
      <c r="E28" s="6">
        <v>120</v>
      </c>
      <c r="F28" s="6"/>
      <c r="G28" s="6" t="s">
        <v>5</v>
      </c>
      <c r="H28" s="6">
        <f t="shared" si="0"/>
        <v>120</v>
      </c>
      <c r="I28" s="6"/>
      <c r="J28" s="6"/>
      <c r="K28" s="6"/>
      <c r="L28" s="12"/>
      <c r="M28" s="10"/>
    </row>
    <row r="29" spans="1:16" ht="15.6">
      <c r="A29" s="1" t="s">
        <v>13</v>
      </c>
      <c r="B29" s="1" t="s">
        <v>77</v>
      </c>
      <c r="C29" s="1" t="s">
        <v>74</v>
      </c>
      <c r="D29" s="1" t="s">
        <v>8</v>
      </c>
      <c r="E29" s="6">
        <v>120</v>
      </c>
      <c r="F29" s="6"/>
      <c r="G29" s="6" t="s">
        <v>5</v>
      </c>
      <c r="H29" s="6">
        <f t="shared" si="0"/>
        <v>120</v>
      </c>
      <c r="I29" s="6"/>
      <c r="J29" s="6"/>
      <c r="K29" s="6"/>
      <c r="L29" s="12"/>
      <c r="M29" s="10"/>
    </row>
    <row r="30" spans="1:16" ht="15.6">
      <c r="A30" s="1" t="s">
        <v>13</v>
      </c>
      <c r="B30" s="1" t="s">
        <v>75</v>
      </c>
      <c r="C30" s="1" t="s">
        <v>76</v>
      </c>
      <c r="D30" s="1" t="s">
        <v>8</v>
      </c>
      <c r="E30" s="6">
        <v>135</v>
      </c>
      <c r="F30" s="6"/>
      <c r="G30" s="6" t="s">
        <v>5</v>
      </c>
      <c r="H30" s="6">
        <f t="shared" si="0"/>
        <v>135</v>
      </c>
      <c r="I30" s="6"/>
      <c r="J30" s="6"/>
      <c r="K30" s="6"/>
      <c r="L30" s="12"/>
      <c r="M30" s="10"/>
    </row>
    <row r="31" spans="1:16" ht="15.6">
      <c r="A31" s="1" t="s">
        <v>13</v>
      </c>
      <c r="B31" s="1" t="s">
        <v>405</v>
      </c>
      <c r="C31" s="1" t="s">
        <v>229</v>
      </c>
      <c r="D31" s="1" t="s">
        <v>8</v>
      </c>
      <c r="E31" s="6">
        <v>770</v>
      </c>
      <c r="F31" s="6"/>
      <c r="G31" s="6" t="s">
        <v>5</v>
      </c>
      <c r="H31" s="6">
        <f t="shared" si="0"/>
        <v>770</v>
      </c>
      <c r="I31" s="6"/>
      <c r="J31" s="6"/>
      <c r="K31" s="6"/>
      <c r="L31" s="12"/>
      <c r="M31" s="10" t="s">
        <v>78</v>
      </c>
    </row>
    <row r="32" spans="1:16" ht="15.6">
      <c r="A32" s="1" t="s">
        <v>13</v>
      </c>
      <c r="B32" s="1" t="s">
        <v>53</v>
      </c>
      <c r="C32" s="1" t="s">
        <v>79</v>
      </c>
      <c r="D32" s="1" t="s">
        <v>8</v>
      </c>
      <c r="E32" s="6">
        <v>330</v>
      </c>
      <c r="F32" s="6"/>
      <c r="G32" s="6" t="s">
        <v>5</v>
      </c>
      <c r="H32" s="6">
        <f t="shared" si="0"/>
        <v>330</v>
      </c>
      <c r="I32" s="6"/>
      <c r="J32" s="6"/>
      <c r="K32" s="6"/>
      <c r="L32" s="12"/>
      <c r="M32" s="10"/>
    </row>
    <row r="33" spans="1:13" ht="15.6">
      <c r="A33" s="1" t="s">
        <v>13</v>
      </c>
      <c r="B33" s="1" t="s">
        <v>38</v>
      </c>
      <c r="C33" s="1" t="s">
        <v>80</v>
      </c>
      <c r="D33" s="1" t="s">
        <v>8</v>
      </c>
      <c r="E33" s="6">
        <v>250</v>
      </c>
      <c r="F33" s="6"/>
      <c r="G33" s="6" t="s">
        <v>5</v>
      </c>
      <c r="H33" s="6">
        <f t="shared" si="0"/>
        <v>250</v>
      </c>
      <c r="I33" s="6"/>
      <c r="J33" s="6"/>
      <c r="K33" s="6"/>
      <c r="L33" s="12"/>
      <c r="M33" s="10"/>
    </row>
    <row r="34" spans="1:13" ht="15.6">
      <c r="A34" s="1" t="s">
        <v>13</v>
      </c>
      <c r="B34" s="1" t="s">
        <v>38</v>
      </c>
      <c r="C34" s="1" t="s">
        <v>81</v>
      </c>
      <c r="D34" s="1" t="s">
        <v>9</v>
      </c>
      <c r="E34" s="6">
        <v>166</v>
      </c>
      <c r="F34" s="6"/>
      <c r="G34" s="6" t="s">
        <v>5</v>
      </c>
      <c r="H34" s="6">
        <f t="shared" ref="H34:H65" si="1">(E34+F34)</f>
        <v>166</v>
      </c>
      <c r="I34" s="6"/>
      <c r="J34" s="6"/>
      <c r="K34" s="6"/>
      <c r="L34" s="12"/>
      <c r="M34" s="10"/>
    </row>
    <row r="35" spans="1:13" ht="15.6">
      <c r="A35" s="1" t="s">
        <v>13</v>
      </c>
      <c r="B35" s="1" t="s">
        <v>38</v>
      </c>
      <c r="C35" s="1" t="s">
        <v>82</v>
      </c>
      <c r="D35" s="1" t="s">
        <v>8</v>
      </c>
      <c r="E35" s="6">
        <v>340</v>
      </c>
      <c r="F35" s="6"/>
      <c r="G35" s="6" t="s">
        <v>5</v>
      </c>
      <c r="H35" s="6">
        <f t="shared" si="1"/>
        <v>340</v>
      </c>
      <c r="I35" s="6"/>
      <c r="J35" s="6"/>
      <c r="K35" s="6"/>
      <c r="L35" s="12"/>
      <c r="M35" s="10" t="s">
        <v>84</v>
      </c>
    </row>
    <row r="36" spans="1:13" ht="15.6">
      <c r="A36" s="1" t="s">
        <v>13</v>
      </c>
      <c r="B36" s="1" t="s">
        <v>38</v>
      </c>
      <c r="C36" s="1" t="s">
        <v>83</v>
      </c>
      <c r="D36" s="1" t="s">
        <v>8</v>
      </c>
      <c r="E36" s="6">
        <v>500</v>
      </c>
      <c r="F36" s="6"/>
      <c r="G36" s="6" t="s">
        <v>5</v>
      </c>
      <c r="H36" s="6">
        <f t="shared" si="1"/>
        <v>500</v>
      </c>
      <c r="I36" s="6"/>
      <c r="J36" s="6"/>
      <c r="K36" s="6"/>
      <c r="L36" s="12"/>
      <c r="M36" s="10"/>
    </row>
    <row r="37" spans="1:13" ht="15.6">
      <c r="A37" s="1" t="s">
        <v>13</v>
      </c>
      <c r="B37" s="1" t="s">
        <v>85</v>
      </c>
      <c r="C37" s="1" t="s">
        <v>86</v>
      </c>
      <c r="D37" s="1" t="s">
        <v>8</v>
      </c>
      <c r="E37" s="6">
        <v>350</v>
      </c>
      <c r="F37" s="6"/>
      <c r="G37" s="6" t="s">
        <v>5</v>
      </c>
      <c r="H37" s="6">
        <f t="shared" si="1"/>
        <v>350</v>
      </c>
      <c r="I37" s="6"/>
      <c r="J37" s="6"/>
      <c r="K37" s="6"/>
      <c r="L37" s="12"/>
      <c r="M37" s="10"/>
    </row>
    <row r="38" spans="1:13" ht="15.6">
      <c r="A38" s="1" t="s">
        <v>13</v>
      </c>
      <c r="B38" s="1" t="s">
        <v>85</v>
      </c>
      <c r="C38" s="1" t="s">
        <v>87</v>
      </c>
      <c r="D38" s="1" t="s">
        <v>9</v>
      </c>
      <c r="E38" s="6">
        <v>180</v>
      </c>
      <c r="F38" s="6"/>
      <c r="G38" s="6" t="s">
        <v>116</v>
      </c>
      <c r="H38" s="6">
        <f t="shared" si="1"/>
        <v>180</v>
      </c>
      <c r="I38" s="6">
        <v>180</v>
      </c>
      <c r="J38" s="6">
        <v>149</v>
      </c>
      <c r="K38" s="6">
        <f>J38-I38</f>
        <v>-31</v>
      </c>
      <c r="L38" s="12">
        <f>K38/I38</f>
        <v>-0.17222222222222222</v>
      </c>
      <c r="M38" s="10"/>
    </row>
    <row r="39" spans="1:13" ht="15.6">
      <c r="A39" s="1" t="s">
        <v>13</v>
      </c>
      <c r="B39" s="1" t="s">
        <v>85</v>
      </c>
      <c r="C39" s="1" t="s">
        <v>88</v>
      </c>
      <c r="D39" s="1" t="s">
        <v>8</v>
      </c>
      <c r="E39" s="6">
        <v>120</v>
      </c>
      <c r="F39" s="6"/>
      <c r="G39" s="6" t="s">
        <v>5</v>
      </c>
      <c r="H39" s="6">
        <f t="shared" si="1"/>
        <v>120</v>
      </c>
      <c r="I39" s="6"/>
      <c r="J39" s="6"/>
      <c r="K39" s="6"/>
      <c r="L39" s="12"/>
      <c r="M39" s="10" t="s">
        <v>89</v>
      </c>
    </row>
    <row r="40" spans="1:13" ht="15.6">
      <c r="A40" s="1" t="s">
        <v>13</v>
      </c>
      <c r="B40" s="1" t="s">
        <v>90</v>
      </c>
      <c r="C40" s="1" t="s">
        <v>97</v>
      </c>
      <c r="D40" s="1" t="s">
        <v>8</v>
      </c>
      <c r="E40" s="6">
        <v>230</v>
      </c>
      <c r="F40" s="6"/>
      <c r="G40" s="6" t="s">
        <v>5</v>
      </c>
      <c r="H40" s="6">
        <f t="shared" si="1"/>
        <v>230</v>
      </c>
      <c r="I40" s="6"/>
      <c r="J40" s="6"/>
      <c r="K40" s="6"/>
      <c r="L40" s="12"/>
      <c r="M40" s="10"/>
    </row>
    <row r="41" spans="1:13" ht="15.6">
      <c r="A41" s="1" t="s">
        <v>13</v>
      </c>
      <c r="B41" s="1" t="s">
        <v>38</v>
      </c>
      <c r="C41" s="1" t="s">
        <v>98</v>
      </c>
      <c r="D41" s="1" t="s">
        <v>8</v>
      </c>
      <c r="E41" s="6">
        <v>145</v>
      </c>
      <c r="F41" s="6"/>
      <c r="G41" s="6" t="s">
        <v>5</v>
      </c>
      <c r="H41" s="6">
        <f t="shared" si="1"/>
        <v>145</v>
      </c>
      <c r="I41" s="6"/>
      <c r="J41" s="6"/>
      <c r="K41" s="6"/>
      <c r="L41" s="12"/>
      <c r="M41" s="10"/>
    </row>
    <row r="42" spans="1:13" ht="15.6">
      <c r="A42" s="1" t="s">
        <v>13</v>
      </c>
      <c r="B42" s="1" t="s">
        <v>92</v>
      </c>
      <c r="C42" s="1" t="s">
        <v>99</v>
      </c>
      <c r="D42" s="1" t="s">
        <v>8</v>
      </c>
      <c r="E42" s="6">
        <v>140</v>
      </c>
      <c r="F42" s="6"/>
      <c r="G42" s="6" t="s">
        <v>5</v>
      </c>
      <c r="H42" s="6">
        <f t="shared" si="1"/>
        <v>140</v>
      </c>
      <c r="I42" s="6"/>
      <c r="J42" s="6"/>
      <c r="K42" s="6"/>
      <c r="L42" s="12"/>
      <c r="M42" s="10"/>
    </row>
    <row r="43" spans="1:13" ht="15.6">
      <c r="A43" s="1" t="s">
        <v>13</v>
      </c>
      <c r="B43" s="1" t="s">
        <v>100</v>
      </c>
      <c r="C43" s="1" t="s">
        <v>750</v>
      </c>
      <c r="D43" s="1" t="s">
        <v>8</v>
      </c>
      <c r="E43" s="6">
        <v>223</v>
      </c>
      <c r="F43" s="6"/>
      <c r="G43" s="6" t="s">
        <v>5</v>
      </c>
      <c r="H43" s="6">
        <f t="shared" si="1"/>
        <v>223</v>
      </c>
      <c r="I43" s="6"/>
      <c r="J43" s="6"/>
      <c r="K43" s="6"/>
      <c r="L43" s="12"/>
      <c r="M43" s="10"/>
    </row>
    <row r="44" spans="1:13" ht="15.6">
      <c r="A44" s="1" t="s">
        <v>13</v>
      </c>
      <c r="B44" s="1" t="s">
        <v>100</v>
      </c>
      <c r="C44" s="1" t="s">
        <v>751</v>
      </c>
      <c r="D44" s="1" t="s">
        <v>8</v>
      </c>
      <c r="E44" s="6">
        <v>280</v>
      </c>
      <c r="F44" s="6"/>
      <c r="G44" s="6" t="s">
        <v>5</v>
      </c>
      <c r="H44" s="6">
        <f t="shared" si="1"/>
        <v>280</v>
      </c>
      <c r="I44" s="6"/>
      <c r="J44" s="6"/>
      <c r="K44" s="6"/>
      <c r="L44" s="12"/>
      <c r="M44" s="10"/>
    </row>
    <row r="45" spans="1:13" ht="15.6">
      <c r="A45" s="1" t="s">
        <v>13</v>
      </c>
      <c r="B45" s="1" t="s">
        <v>101</v>
      </c>
      <c r="C45" s="1" t="s">
        <v>102</v>
      </c>
      <c r="D45" s="1" t="s">
        <v>8</v>
      </c>
      <c r="E45" s="6">
        <v>70</v>
      </c>
      <c r="F45" s="6"/>
      <c r="G45" s="6" t="s">
        <v>5</v>
      </c>
      <c r="H45" s="6">
        <f t="shared" si="1"/>
        <v>70</v>
      </c>
      <c r="I45" s="6"/>
      <c r="J45" s="6"/>
      <c r="K45" s="6"/>
      <c r="L45" s="12"/>
      <c r="M45" s="10"/>
    </row>
    <row r="46" spans="1:13" ht="15.6">
      <c r="A46" s="1" t="s">
        <v>13</v>
      </c>
      <c r="B46" s="1" t="s">
        <v>103</v>
      </c>
      <c r="C46" s="1" t="s">
        <v>752</v>
      </c>
      <c r="D46" s="1" t="s">
        <v>9</v>
      </c>
      <c r="E46" s="6">
        <v>400</v>
      </c>
      <c r="F46" s="6"/>
      <c r="G46" s="6" t="s">
        <v>5</v>
      </c>
      <c r="H46" s="6">
        <f t="shared" si="1"/>
        <v>400</v>
      </c>
      <c r="I46" s="6"/>
      <c r="J46" s="6"/>
      <c r="K46" s="6"/>
      <c r="L46" s="12"/>
      <c r="M46" s="10"/>
    </row>
    <row r="47" spans="1:13" ht="15.6">
      <c r="A47" s="1" t="s">
        <v>13</v>
      </c>
      <c r="B47" s="1" t="s">
        <v>104</v>
      </c>
      <c r="C47" s="1" t="s">
        <v>105</v>
      </c>
      <c r="D47" s="1" t="s">
        <v>8</v>
      </c>
      <c r="E47" s="6">
        <v>2000</v>
      </c>
      <c r="F47" s="6">
        <v>50</v>
      </c>
      <c r="G47" s="6" t="s">
        <v>5</v>
      </c>
      <c r="H47" s="6">
        <f t="shared" si="1"/>
        <v>2050</v>
      </c>
      <c r="I47" s="6"/>
      <c r="J47" s="6"/>
      <c r="K47" s="6"/>
      <c r="L47" s="12"/>
      <c r="M47" s="10"/>
    </row>
    <row r="48" spans="1:13" ht="15.6">
      <c r="A48" s="1" t="s">
        <v>13</v>
      </c>
      <c r="B48" s="1" t="s">
        <v>103</v>
      </c>
      <c r="C48" s="1" t="s">
        <v>106</v>
      </c>
      <c r="D48" s="1" t="s">
        <v>9</v>
      </c>
      <c r="E48" s="6">
        <v>460</v>
      </c>
      <c r="F48" s="6"/>
      <c r="G48" s="6" t="s">
        <v>5</v>
      </c>
      <c r="H48" s="6">
        <f t="shared" si="1"/>
        <v>460</v>
      </c>
      <c r="I48" s="6"/>
      <c r="J48" s="6"/>
      <c r="K48" s="6"/>
      <c r="L48" s="12"/>
      <c r="M48" s="10"/>
    </row>
    <row r="49" spans="1:13" ht="15.6">
      <c r="A49" s="1" t="s">
        <v>13</v>
      </c>
      <c r="B49" s="1" t="s">
        <v>92</v>
      </c>
      <c r="C49" s="1" t="s">
        <v>723</v>
      </c>
      <c r="D49" s="1" t="s">
        <v>9</v>
      </c>
      <c r="E49" s="6">
        <v>460</v>
      </c>
      <c r="F49" s="6"/>
      <c r="G49" s="6" t="s">
        <v>5</v>
      </c>
      <c r="H49" s="6">
        <f t="shared" si="1"/>
        <v>460</v>
      </c>
      <c r="I49" s="6"/>
      <c r="J49" s="6"/>
      <c r="K49" s="6"/>
      <c r="L49" s="12"/>
      <c r="M49" s="10"/>
    </row>
    <row r="50" spans="1:13" ht="15.6">
      <c r="A50" s="1" t="s">
        <v>13</v>
      </c>
      <c r="B50" s="1" t="s">
        <v>103</v>
      </c>
      <c r="C50" s="1" t="s">
        <v>107</v>
      </c>
      <c r="D50" s="1" t="s">
        <v>9</v>
      </c>
      <c r="E50" s="6">
        <v>150</v>
      </c>
      <c r="F50" s="6"/>
      <c r="G50" s="6" t="s">
        <v>5</v>
      </c>
      <c r="H50" s="6">
        <f t="shared" si="1"/>
        <v>150</v>
      </c>
      <c r="I50" s="6"/>
      <c r="J50" s="6"/>
      <c r="K50" s="6"/>
      <c r="L50" s="12"/>
      <c r="M50" s="10" t="s">
        <v>753</v>
      </c>
    </row>
    <row r="51" spans="1:13" ht="15.6">
      <c r="A51" s="1" t="s">
        <v>13</v>
      </c>
      <c r="B51" s="1" t="s">
        <v>103</v>
      </c>
      <c r="C51" s="1" t="s">
        <v>108</v>
      </c>
      <c r="D51" s="1" t="s">
        <v>9</v>
      </c>
      <c r="E51" s="6">
        <v>420</v>
      </c>
      <c r="F51" s="6"/>
      <c r="G51" s="6" t="s">
        <v>5</v>
      </c>
      <c r="H51" s="6">
        <f t="shared" si="1"/>
        <v>420</v>
      </c>
      <c r="I51" s="6"/>
      <c r="J51" s="6"/>
      <c r="K51" s="6"/>
      <c r="L51" s="12"/>
      <c r="M51" s="10"/>
    </row>
    <row r="52" spans="1:13" ht="15.6">
      <c r="A52" s="1" t="s">
        <v>13</v>
      </c>
      <c r="B52" s="1" t="s">
        <v>104</v>
      </c>
      <c r="C52" s="1" t="s">
        <v>109</v>
      </c>
      <c r="D52" s="1" t="s">
        <v>8</v>
      </c>
      <c r="E52" s="6">
        <v>1865</v>
      </c>
      <c r="F52" s="6"/>
      <c r="G52" s="6" t="s">
        <v>5</v>
      </c>
      <c r="H52" s="6">
        <f t="shared" si="1"/>
        <v>1865</v>
      </c>
      <c r="I52" s="6"/>
      <c r="J52" s="6"/>
      <c r="K52" s="6"/>
      <c r="L52" s="12"/>
      <c r="M52" s="10"/>
    </row>
    <row r="53" spans="1:13" ht="15.6">
      <c r="A53" s="1" t="s">
        <v>13</v>
      </c>
      <c r="B53" s="1" t="s">
        <v>90</v>
      </c>
      <c r="C53" s="1" t="s">
        <v>237</v>
      </c>
      <c r="D53" s="1" t="s">
        <v>9</v>
      </c>
      <c r="E53" s="6">
        <v>320</v>
      </c>
      <c r="F53" s="6"/>
      <c r="G53" s="6" t="s">
        <v>5</v>
      </c>
      <c r="H53" s="6">
        <f t="shared" si="1"/>
        <v>320</v>
      </c>
      <c r="I53" s="6"/>
      <c r="J53" s="6"/>
      <c r="K53" s="6"/>
      <c r="L53" s="12"/>
      <c r="M53" s="10"/>
    </row>
    <row r="54" spans="1:13" ht="15.6">
      <c r="A54" s="1" t="s">
        <v>13</v>
      </c>
      <c r="B54" s="1" t="s">
        <v>92</v>
      </c>
      <c r="C54" s="1" t="s">
        <v>110</v>
      </c>
      <c r="D54" s="1" t="s">
        <v>8</v>
      </c>
      <c r="E54" s="6">
        <v>210</v>
      </c>
      <c r="F54" s="6"/>
      <c r="G54" s="6" t="s">
        <v>5</v>
      </c>
      <c r="H54" s="6">
        <f t="shared" si="1"/>
        <v>210</v>
      </c>
      <c r="I54" s="6"/>
      <c r="J54" s="6"/>
      <c r="K54" s="6"/>
      <c r="L54" s="12"/>
      <c r="M54" s="10"/>
    </row>
    <row r="55" spans="1:13" ht="15.6">
      <c r="A55" s="1" t="s">
        <v>13</v>
      </c>
      <c r="B55" s="1" t="s">
        <v>38</v>
      </c>
      <c r="C55" s="1" t="s">
        <v>111</v>
      </c>
      <c r="D55" s="1" t="s">
        <v>9</v>
      </c>
      <c r="E55" s="6">
        <v>960</v>
      </c>
      <c r="F55" s="6"/>
      <c r="G55" s="6" t="s">
        <v>5</v>
      </c>
      <c r="H55" s="6">
        <f t="shared" si="1"/>
        <v>960</v>
      </c>
      <c r="I55" s="6"/>
      <c r="J55" s="6"/>
      <c r="K55" s="6"/>
      <c r="L55" s="12"/>
      <c r="M55" s="10" t="s">
        <v>84</v>
      </c>
    </row>
    <row r="56" spans="1:13" ht="15.6">
      <c r="A56" s="1" t="s">
        <v>13</v>
      </c>
      <c r="B56" s="1" t="s">
        <v>90</v>
      </c>
      <c r="C56" s="1" t="s">
        <v>112</v>
      </c>
      <c r="D56" s="1" t="s">
        <v>8</v>
      </c>
      <c r="E56" s="6">
        <v>210</v>
      </c>
      <c r="F56" s="6"/>
      <c r="G56" s="6" t="s">
        <v>5</v>
      </c>
      <c r="H56" s="6">
        <f t="shared" si="1"/>
        <v>210</v>
      </c>
      <c r="I56" s="6"/>
      <c r="J56" s="6"/>
      <c r="K56" s="6"/>
      <c r="L56" s="12"/>
      <c r="M56" s="10"/>
    </row>
    <row r="57" spans="1:13" ht="15.6">
      <c r="A57" s="1" t="s">
        <v>13</v>
      </c>
      <c r="B57" s="1"/>
      <c r="C57" s="1" t="s">
        <v>113</v>
      </c>
      <c r="D57" s="1" t="s">
        <v>8</v>
      </c>
      <c r="E57" s="6">
        <v>100</v>
      </c>
      <c r="F57" s="6"/>
      <c r="G57" s="6" t="s">
        <v>4</v>
      </c>
      <c r="H57" s="6">
        <f t="shared" si="1"/>
        <v>100</v>
      </c>
      <c r="I57" s="6">
        <v>100</v>
      </c>
      <c r="J57" s="6">
        <v>128</v>
      </c>
      <c r="K57" s="6">
        <f>(J57-H57)</f>
        <v>28</v>
      </c>
      <c r="L57" s="12">
        <f>ROUND(K57/I57,4)</f>
        <v>0.28000000000000003</v>
      </c>
      <c r="M57" s="10" t="s">
        <v>114</v>
      </c>
    </row>
    <row r="58" spans="1:13" ht="15.6">
      <c r="A58" s="1" t="s">
        <v>13</v>
      </c>
      <c r="B58" s="1"/>
      <c r="C58" s="1" t="s">
        <v>113</v>
      </c>
      <c r="D58" s="1" t="s">
        <v>8</v>
      </c>
      <c r="E58" s="6">
        <v>100</v>
      </c>
      <c r="F58" s="6"/>
      <c r="G58" s="6" t="s">
        <v>5</v>
      </c>
      <c r="H58" s="6">
        <f t="shared" si="1"/>
        <v>100</v>
      </c>
      <c r="I58" s="6"/>
      <c r="J58" s="6"/>
      <c r="K58" s="6"/>
      <c r="L58" s="12"/>
      <c r="M58" s="10" t="s">
        <v>115</v>
      </c>
    </row>
    <row r="59" spans="1:13" ht="15.6">
      <c r="A59" s="1" t="s">
        <v>13</v>
      </c>
      <c r="B59" s="1" t="s">
        <v>117</v>
      </c>
      <c r="C59" s="1" t="s">
        <v>112</v>
      </c>
      <c r="D59" s="1" t="s">
        <v>8</v>
      </c>
      <c r="E59" s="6">
        <v>220</v>
      </c>
      <c r="F59" s="6"/>
      <c r="G59" s="6" t="s">
        <v>5</v>
      </c>
      <c r="H59" s="6">
        <f t="shared" si="1"/>
        <v>220</v>
      </c>
      <c r="I59" s="6"/>
      <c r="J59" s="6"/>
      <c r="K59" s="6"/>
      <c r="L59" s="12"/>
      <c r="M59" s="10"/>
    </row>
    <row r="60" spans="1:13" ht="15.6">
      <c r="A60" s="1" t="s">
        <v>13</v>
      </c>
      <c r="B60" s="1" t="s">
        <v>85</v>
      </c>
      <c r="C60" s="1" t="s">
        <v>87</v>
      </c>
      <c r="D60" s="1" t="s">
        <v>8</v>
      </c>
      <c r="E60" s="6">
        <v>180</v>
      </c>
      <c r="F60" s="6"/>
      <c r="G60" s="6" t="s">
        <v>5</v>
      </c>
      <c r="H60" s="6">
        <f t="shared" si="1"/>
        <v>180</v>
      </c>
      <c r="I60" s="6"/>
      <c r="J60" s="6"/>
      <c r="K60" s="6"/>
      <c r="L60" s="12"/>
      <c r="M60" s="10"/>
    </row>
    <row r="61" spans="1:13" ht="15.6">
      <c r="A61" s="1" t="s">
        <v>13</v>
      </c>
      <c r="B61" s="1" t="s">
        <v>38</v>
      </c>
      <c r="C61" s="1" t="s">
        <v>118</v>
      </c>
      <c r="D61" s="1" t="s">
        <v>8</v>
      </c>
      <c r="E61" s="6">
        <v>230</v>
      </c>
      <c r="F61" s="6"/>
      <c r="G61" s="6" t="s">
        <v>5</v>
      </c>
      <c r="H61" s="6">
        <f t="shared" si="1"/>
        <v>230</v>
      </c>
      <c r="I61" s="6"/>
      <c r="J61" s="6"/>
      <c r="K61" s="6"/>
      <c r="L61" s="12"/>
      <c r="M61" s="10"/>
    </row>
    <row r="62" spans="1:13" ht="15.6">
      <c r="A62" s="1" t="s">
        <v>13</v>
      </c>
      <c r="B62" s="1" t="s">
        <v>38</v>
      </c>
      <c r="C62" s="1" t="s">
        <v>119</v>
      </c>
      <c r="D62" s="1" t="s">
        <v>8</v>
      </c>
      <c r="E62" s="6">
        <v>320</v>
      </c>
      <c r="F62" s="6"/>
      <c r="G62" s="6" t="s">
        <v>5</v>
      </c>
      <c r="H62" s="6">
        <f t="shared" si="1"/>
        <v>320</v>
      </c>
      <c r="I62" s="6"/>
      <c r="J62" s="6"/>
      <c r="K62" s="6"/>
      <c r="L62" s="12"/>
      <c r="M62" s="10" t="s">
        <v>120</v>
      </c>
    </row>
    <row r="63" spans="1:13" ht="15.6">
      <c r="A63" s="1" t="s">
        <v>13</v>
      </c>
      <c r="B63" s="1" t="s">
        <v>121</v>
      </c>
      <c r="C63" s="1" t="s">
        <v>1156</v>
      </c>
      <c r="D63" s="1" t="s">
        <v>8</v>
      </c>
      <c r="E63" s="6">
        <v>2200</v>
      </c>
      <c r="F63" s="6"/>
      <c r="G63" s="6" t="s">
        <v>5</v>
      </c>
      <c r="H63" s="6">
        <f t="shared" si="1"/>
        <v>2200</v>
      </c>
      <c r="I63" s="6"/>
      <c r="J63" s="6"/>
      <c r="K63" s="6"/>
      <c r="L63" s="12"/>
      <c r="M63" s="10"/>
    </row>
    <row r="64" spans="1:13" ht="15.6">
      <c r="A64" s="1" t="s">
        <v>13</v>
      </c>
      <c r="B64" s="1" t="s">
        <v>38</v>
      </c>
      <c r="C64" s="1" t="s">
        <v>122</v>
      </c>
      <c r="D64" s="1" t="s">
        <v>8</v>
      </c>
      <c r="E64" s="6">
        <v>260</v>
      </c>
      <c r="F64" s="6"/>
      <c r="G64" s="6" t="s">
        <v>5</v>
      </c>
      <c r="H64" s="6">
        <f t="shared" si="1"/>
        <v>260</v>
      </c>
      <c r="I64" s="6"/>
      <c r="J64" s="6"/>
      <c r="K64" s="6"/>
      <c r="L64" s="12"/>
      <c r="M64" s="10"/>
    </row>
    <row r="65" spans="1:13" ht="15.6">
      <c r="A65" s="1" t="s">
        <v>13</v>
      </c>
      <c r="B65" s="1" t="s">
        <v>38</v>
      </c>
      <c r="C65" s="1" t="s">
        <v>74</v>
      </c>
      <c r="D65" s="1" t="s">
        <v>8</v>
      </c>
      <c r="E65" s="6">
        <v>140</v>
      </c>
      <c r="F65" s="6"/>
      <c r="G65" s="6" t="s">
        <v>5</v>
      </c>
      <c r="H65" s="6">
        <f t="shared" si="1"/>
        <v>140</v>
      </c>
      <c r="I65" s="6"/>
      <c r="J65" s="6"/>
      <c r="K65" s="6"/>
      <c r="L65" s="12"/>
      <c r="M65" s="10"/>
    </row>
    <row r="66" spans="1:13" ht="15.6">
      <c r="A66" s="1" t="s">
        <v>13</v>
      </c>
      <c r="B66" s="1" t="s">
        <v>38</v>
      </c>
      <c r="C66" s="1" t="s">
        <v>123</v>
      </c>
      <c r="D66" s="1" t="s">
        <v>8</v>
      </c>
      <c r="E66" s="6">
        <v>300</v>
      </c>
      <c r="F66" s="6"/>
      <c r="G66" s="6" t="s">
        <v>5</v>
      </c>
      <c r="H66" s="6">
        <f t="shared" ref="H66:H88" si="2">(E66+F66)</f>
        <v>300</v>
      </c>
      <c r="I66" s="6"/>
      <c r="J66" s="6"/>
      <c r="K66" s="6"/>
      <c r="L66" s="12"/>
      <c r="M66" s="10"/>
    </row>
    <row r="67" spans="1:13" ht="15.6">
      <c r="A67" s="1" t="s">
        <v>13</v>
      </c>
      <c r="B67" s="1" t="s">
        <v>40</v>
      </c>
      <c r="C67" s="1" t="s">
        <v>124</v>
      </c>
      <c r="D67" s="1" t="s">
        <v>9</v>
      </c>
      <c r="E67" s="6">
        <v>770</v>
      </c>
      <c r="F67" s="6"/>
      <c r="G67" s="6" t="s">
        <v>116</v>
      </c>
      <c r="H67" s="6">
        <f t="shared" si="2"/>
        <v>770</v>
      </c>
      <c r="I67" s="6">
        <v>770</v>
      </c>
      <c r="J67" s="6">
        <v>696</v>
      </c>
      <c r="K67" s="6">
        <f>(J67-I67)</f>
        <v>-74</v>
      </c>
      <c r="L67" s="12">
        <f>ROUND(K67/I67,4)</f>
        <v>-9.6100000000000005E-2</v>
      </c>
      <c r="M67" s="10" t="s">
        <v>125</v>
      </c>
    </row>
    <row r="68" spans="1:13" ht="15.6">
      <c r="A68" s="1" t="s">
        <v>126</v>
      </c>
      <c r="B68" s="1" t="s">
        <v>127</v>
      </c>
      <c r="C68" s="1" t="s">
        <v>128</v>
      </c>
      <c r="D68" s="1" t="s">
        <v>8</v>
      </c>
      <c r="E68" s="6">
        <v>910</v>
      </c>
      <c r="F68" s="6"/>
      <c r="G68" s="6" t="s">
        <v>5</v>
      </c>
      <c r="H68" s="6">
        <f t="shared" si="2"/>
        <v>910</v>
      </c>
      <c r="I68" s="6"/>
      <c r="J68" s="6"/>
      <c r="K68" s="6"/>
      <c r="L68" s="12"/>
      <c r="M68" s="10"/>
    </row>
    <row r="69" spans="1:13" ht="15.6">
      <c r="A69" s="1" t="s">
        <v>13</v>
      </c>
      <c r="B69" s="1" t="s">
        <v>38</v>
      </c>
      <c r="C69" s="1" t="s">
        <v>129</v>
      </c>
      <c r="D69" s="1" t="s">
        <v>8</v>
      </c>
      <c r="E69" s="6">
        <v>180</v>
      </c>
      <c r="F69" s="6"/>
      <c r="G69" s="6" t="s">
        <v>5</v>
      </c>
      <c r="H69" s="6">
        <f t="shared" si="2"/>
        <v>180</v>
      </c>
      <c r="I69" s="6"/>
      <c r="J69" s="6"/>
      <c r="K69" s="6"/>
      <c r="L69" s="12"/>
      <c r="M69" s="10"/>
    </row>
    <row r="70" spans="1:13" ht="15.6">
      <c r="A70" s="1" t="s">
        <v>13</v>
      </c>
      <c r="B70" s="1" t="s">
        <v>38</v>
      </c>
      <c r="C70" s="1" t="s">
        <v>130</v>
      </c>
      <c r="D70" s="1" t="s">
        <v>9</v>
      </c>
      <c r="E70" s="6">
        <v>1650</v>
      </c>
      <c r="F70" s="6">
        <v>30</v>
      </c>
      <c r="G70" s="6" t="s">
        <v>116</v>
      </c>
      <c r="H70" s="6">
        <f t="shared" si="2"/>
        <v>1680</v>
      </c>
      <c r="I70" s="6">
        <f>H70</f>
        <v>1680</v>
      </c>
      <c r="J70" s="6">
        <v>1979</v>
      </c>
      <c r="K70" s="6">
        <f>(J70-I70)</f>
        <v>299</v>
      </c>
      <c r="L70" s="12">
        <f>ROUND(K70/I70,4)</f>
        <v>0.17799999999999999</v>
      </c>
      <c r="M70" s="10" t="s">
        <v>131</v>
      </c>
    </row>
    <row r="71" spans="1:13" ht="15.6">
      <c r="A71" s="1" t="s">
        <v>13</v>
      </c>
      <c r="B71" s="1" t="s">
        <v>77</v>
      </c>
      <c r="C71" s="1" t="s">
        <v>62</v>
      </c>
      <c r="D71" s="1" t="s">
        <v>8</v>
      </c>
      <c r="E71" s="6">
        <v>128</v>
      </c>
      <c r="F71" s="6"/>
      <c r="G71" s="6" t="s">
        <v>5</v>
      </c>
      <c r="H71" s="6">
        <f t="shared" si="2"/>
        <v>128</v>
      </c>
      <c r="I71" s="6"/>
      <c r="J71" s="6"/>
      <c r="K71" s="6"/>
      <c r="L71" s="12"/>
      <c r="M71" s="10"/>
    </row>
    <row r="72" spans="1:13" ht="15.6">
      <c r="A72" s="1" t="s">
        <v>13</v>
      </c>
      <c r="B72" s="1" t="s">
        <v>38</v>
      </c>
      <c r="C72" s="1" t="s">
        <v>132</v>
      </c>
      <c r="D72" s="1" t="s">
        <v>8</v>
      </c>
      <c r="E72" s="6">
        <v>260</v>
      </c>
      <c r="F72" s="6"/>
      <c r="G72" s="6" t="s">
        <v>5</v>
      </c>
      <c r="H72" s="6">
        <f t="shared" si="2"/>
        <v>260</v>
      </c>
      <c r="I72" s="6"/>
      <c r="J72" s="6"/>
      <c r="K72" s="6"/>
      <c r="L72" s="12"/>
      <c r="M72" s="10"/>
    </row>
    <row r="73" spans="1:13" ht="15.6">
      <c r="A73" s="1" t="s">
        <v>13</v>
      </c>
      <c r="B73" s="1" t="s">
        <v>77</v>
      </c>
      <c r="C73" s="1" t="s">
        <v>133</v>
      </c>
      <c r="D73" s="1" t="s">
        <v>8</v>
      </c>
      <c r="E73" s="6">
        <v>165</v>
      </c>
      <c r="F73" s="6"/>
      <c r="G73" s="6" t="s">
        <v>5</v>
      </c>
      <c r="H73" s="6">
        <f t="shared" si="2"/>
        <v>165</v>
      </c>
      <c r="I73" s="6"/>
      <c r="J73" s="6"/>
      <c r="K73" s="6"/>
      <c r="L73" s="12"/>
      <c r="M73" s="10"/>
    </row>
    <row r="74" spans="1:13" ht="15.6">
      <c r="A74" s="1" t="s">
        <v>13</v>
      </c>
      <c r="B74" s="1" t="s">
        <v>77</v>
      </c>
      <c r="C74" s="1" t="s">
        <v>134</v>
      </c>
      <c r="D74" s="1" t="s">
        <v>8</v>
      </c>
      <c r="E74" s="6">
        <v>155</v>
      </c>
      <c r="F74" s="6"/>
      <c r="G74" s="6" t="s">
        <v>5</v>
      </c>
      <c r="H74" s="6">
        <f t="shared" si="2"/>
        <v>155</v>
      </c>
      <c r="I74" s="6"/>
      <c r="J74" s="6"/>
      <c r="K74" s="6"/>
      <c r="L74" s="12"/>
      <c r="M74" s="10"/>
    </row>
    <row r="75" spans="1:13" ht="15.6">
      <c r="A75" s="1" t="s">
        <v>13</v>
      </c>
      <c r="B75" s="1" t="s">
        <v>38</v>
      </c>
      <c r="C75" s="1" t="s">
        <v>135</v>
      </c>
      <c r="D75" s="1" t="s">
        <v>8</v>
      </c>
      <c r="E75" s="6">
        <v>270</v>
      </c>
      <c r="F75" s="6"/>
      <c r="G75" s="6" t="s">
        <v>5</v>
      </c>
      <c r="H75" s="6">
        <f t="shared" si="2"/>
        <v>270</v>
      </c>
      <c r="I75" s="6"/>
      <c r="J75" s="6"/>
      <c r="K75" s="6"/>
      <c r="L75" s="12"/>
      <c r="M75" s="10"/>
    </row>
    <row r="76" spans="1:13" ht="15.6">
      <c r="A76" s="1" t="s">
        <v>13</v>
      </c>
      <c r="B76" s="1" t="s">
        <v>38</v>
      </c>
      <c r="C76" s="1" t="s">
        <v>136</v>
      </c>
      <c r="D76" s="1" t="s">
        <v>8</v>
      </c>
      <c r="E76" s="6">
        <v>220</v>
      </c>
      <c r="F76" s="6"/>
      <c r="G76" s="6" t="s">
        <v>5</v>
      </c>
      <c r="H76" s="6">
        <f t="shared" si="2"/>
        <v>220</v>
      </c>
      <c r="I76" s="6"/>
      <c r="J76" s="6"/>
      <c r="K76" s="6"/>
      <c r="L76" s="12"/>
      <c r="M76" s="10"/>
    </row>
    <row r="77" spans="1:13" ht="15.6">
      <c r="A77" s="1" t="s">
        <v>13</v>
      </c>
      <c r="B77" s="1" t="s">
        <v>38</v>
      </c>
      <c r="C77" s="1" t="s">
        <v>137</v>
      </c>
      <c r="D77" s="1" t="s">
        <v>8</v>
      </c>
      <c r="E77" s="6">
        <v>65</v>
      </c>
      <c r="F77" s="6"/>
      <c r="G77" s="6" t="s">
        <v>5</v>
      </c>
      <c r="H77" s="6">
        <f t="shared" si="2"/>
        <v>65</v>
      </c>
      <c r="I77" s="6"/>
      <c r="J77" s="6"/>
      <c r="K77" s="6"/>
      <c r="L77" s="12"/>
      <c r="M77" s="10"/>
    </row>
    <row r="78" spans="1:13" ht="15.6">
      <c r="A78" s="1" t="s">
        <v>140</v>
      </c>
      <c r="B78" s="1" t="s">
        <v>138</v>
      </c>
      <c r="C78" s="1" t="s">
        <v>139</v>
      </c>
      <c r="D78" s="1" t="s">
        <v>8</v>
      </c>
      <c r="E78" s="6">
        <v>500</v>
      </c>
      <c r="F78" s="6">
        <v>27</v>
      </c>
      <c r="G78" s="6" t="s">
        <v>5</v>
      </c>
      <c r="H78" s="6">
        <f t="shared" si="2"/>
        <v>527</v>
      </c>
      <c r="I78" s="6"/>
      <c r="J78" s="6"/>
      <c r="K78" s="6"/>
      <c r="L78" s="12"/>
      <c r="M78" s="10"/>
    </row>
    <row r="79" spans="1:13" ht="15.6">
      <c r="A79" s="1" t="s">
        <v>13</v>
      </c>
      <c r="B79" s="1" t="s">
        <v>38</v>
      </c>
      <c r="C79" s="1" t="s">
        <v>141</v>
      </c>
      <c r="D79" s="1" t="s">
        <v>8</v>
      </c>
      <c r="E79" s="6">
        <v>145</v>
      </c>
      <c r="F79" s="6"/>
      <c r="G79" s="6" t="s">
        <v>5</v>
      </c>
      <c r="H79" s="6">
        <f t="shared" si="2"/>
        <v>145</v>
      </c>
      <c r="I79" s="6"/>
      <c r="J79" s="6"/>
      <c r="K79" s="6"/>
      <c r="L79" s="12"/>
      <c r="M79" s="10"/>
    </row>
    <row r="80" spans="1:13" ht="15.6">
      <c r="A80" s="1"/>
      <c r="B80" s="1" t="s">
        <v>143</v>
      </c>
      <c r="C80" s="1" t="s">
        <v>142</v>
      </c>
      <c r="D80" s="1" t="s">
        <v>8</v>
      </c>
      <c r="E80" s="6">
        <v>70</v>
      </c>
      <c r="F80" s="6"/>
      <c r="G80" s="6" t="s">
        <v>5</v>
      </c>
      <c r="H80" s="6">
        <f t="shared" si="2"/>
        <v>70</v>
      </c>
      <c r="I80" s="6"/>
      <c r="J80" s="6"/>
      <c r="K80" s="6"/>
      <c r="L80" s="12"/>
      <c r="M80" s="10"/>
    </row>
    <row r="81" spans="1:13" ht="15.6">
      <c r="A81" s="1"/>
      <c r="B81" s="1" t="s">
        <v>143</v>
      </c>
      <c r="C81" s="1" t="s">
        <v>144</v>
      </c>
      <c r="D81" s="1" t="s">
        <v>8</v>
      </c>
      <c r="E81" s="6">
        <v>70</v>
      </c>
      <c r="F81" s="6"/>
      <c r="G81" s="6" t="s">
        <v>5</v>
      </c>
      <c r="H81" s="6">
        <f t="shared" si="2"/>
        <v>70</v>
      </c>
      <c r="I81" s="6"/>
      <c r="J81" s="6"/>
      <c r="K81" s="6"/>
      <c r="L81" s="12"/>
      <c r="M81" s="10"/>
    </row>
    <row r="82" spans="1:13" ht="15.6">
      <c r="A82" s="1"/>
      <c r="B82" s="1" t="s">
        <v>143</v>
      </c>
      <c r="C82" s="1" t="s">
        <v>146</v>
      </c>
      <c r="D82" s="1" t="s">
        <v>8</v>
      </c>
      <c r="E82" s="6">
        <v>70</v>
      </c>
      <c r="F82" s="6"/>
      <c r="G82" s="6" t="s">
        <v>5</v>
      </c>
      <c r="H82" s="6">
        <f t="shared" si="2"/>
        <v>70</v>
      </c>
      <c r="I82" s="6"/>
      <c r="J82" s="6"/>
      <c r="K82" s="6"/>
      <c r="L82" s="12"/>
      <c r="M82" s="10"/>
    </row>
    <row r="83" spans="1:13" ht="15.6">
      <c r="A83" s="1"/>
      <c r="B83" s="1" t="s">
        <v>145</v>
      </c>
      <c r="C83" s="1" t="s">
        <v>147</v>
      </c>
      <c r="D83" s="1" t="s">
        <v>8</v>
      </c>
      <c r="E83" s="6">
        <v>70</v>
      </c>
      <c r="F83" s="6"/>
      <c r="G83" s="6" t="s">
        <v>5</v>
      </c>
      <c r="H83" s="6">
        <f t="shared" si="2"/>
        <v>70</v>
      </c>
      <c r="I83" s="6"/>
      <c r="J83" s="6"/>
      <c r="K83" s="6"/>
      <c r="L83" s="12"/>
      <c r="M83" s="10" t="s">
        <v>388</v>
      </c>
    </row>
    <row r="84" spans="1:13" ht="15.6">
      <c r="A84" s="1" t="s">
        <v>13</v>
      </c>
      <c r="B84" s="1" t="s">
        <v>38</v>
      </c>
      <c r="C84" s="1" t="s">
        <v>148</v>
      </c>
      <c r="D84" s="1" t="s">
        <v>8</v>
      </c>
      <c r="E84" s="6">
        <v>160</v>
      </c>
      <c r="F84" s="6"/>
      <c r="G84" s="6" t="s">
        <v>5</v>
      </c>
      <c r="H84" s="6">
        <f t="shared" si="2"/>
        <v>160</v>
      </c>
      <c r="I84" s="6"/>
      <c r="J84" s="6"/>
      <c r="K84" s="6"/>
      <c r="L84" s="12"/>
      <c r="M84" s="10" t="s">
        <v>202</v>
      </c>
    </row>
    <row r="85" spans="1:13" ht="15.6">
      <c r="A85" s="1" t="s">
        <v>13</v>
      </c>
      <c r="B85" s="1" t="s">
        <v>38</v>
      </c>
      <c r="C85" s="1" t="s">
        <v>149</v>
      </c>
      <c r="D85" s="1" t="s">
        <v>8</v>
      </c>
      <c r="E85" s="6">
        <v>300</v>
      </c>
      <c r="F85" s="6"/>
      <c r="G85" s="6" t="s">
        <v>5</v>
      </c>
      <c r="H85" s="6">
        <f t="shared" si="2"/>
        <v>300</v>
      </c>
      <c r="I85" s="6"/>
      <c r="J85" s="6"/>
      <c r="K85" s="6"/>
      <c r="L85" s="12"/>
      <c r="M85" s="10"/>
    </row>
    <row r="86" spans="1:13" ht="15.6">
      <c r="A86" s="1" t="s">
        <v>13</v>
      </c>
      <c r="B86" s="1" t="s">
        <v>38</v>
      </c>
      <c r="C86" s="1" t="s">
        <v>293</v>
      </c>
      <c r="D86" s="1" t="s">
        <v>329</v>
      </c>
      <c r="E86" s="6">
        <v>117</v>
      </c>
      <c r="F86" s="6"/>
      <c r="G86" s="6" t="s">
        <v>5</v>
      </c>
      <c r="H86" s="6">
        <f t="shared" si="2"/>
        <v>117</v>
      </c>
      <c r="I86" s="6"/>
      <c r="J86" s="6"/>
      <c r="K86" s="6"/>
      <c r="L86" s="12"/>
      <c r="M86" s="10"/>
    </row>
    <row r="87" spans="1:13" ht="15.6">
      <c r="A87" s="1"/>
      <c r="B87" s="1" t="s">
        <v>305</v>
      </c>
      <c r="C87" s="1" t="s">
        <v>306</v>
      </c>
      <c r="D87" s="1" t="s">
        <v>8</v>
      </c>
      <c r="E87" s="6">
        <v>219</v>
      </c>
      <c r="F87" s="6"/>
      <c r="G87" s="6" t="s">
        <v>5</v>
      </c>
      <c r="H87" s="6">
        <f t="shared" si="2"/>
        <v>219</v>
      </c>
      <c r="I87" s="6"/>
      <c r="J87" s="6"/>
      <c r="K87" s="6"/>
      <c r="L87" s="12"/>
      <c r="M87" s="10" t="s">
        <v>388</v>
      </c>
    </row>
    <row r="88" spans="1:13" ht="15.6">
      <c r="A88" s="1" t="s">
        <v>13</v>
      </c>
      <c r="B88" s="1" t="s">
        <v>307</v>
      </c>
      <c r="C88" s="1" t="s">
        <v>308</v>
      </c>
      <c r="D88" s="1" t="s">
        <v>9</v>
      </c>
      <c r="E88" s="6">
        <v>600</v>
      </c>
      <c r="F88" s="6"/>
      <c r="G88" s="6" t="s">
        <v>5</v>
      </c>
      <c r="H88" s="6">
        <f t="shared" si="2"/>
        <v>600</v>
      </c>
      <c r="I88" s="6"/>
      <c r="J88" s="6"/>
      <c r="K88" s="6"/>
      <c r="L88" s="12"/>
      <c r="M88" s="10" t="s">
        <v>309</v>
      </c>
    </row>
    <row r="89" spans="1:13" ht="15.6">
      <c r="A89" s="1" t="s">
        <v>335</v>
      </c>
      <c r="B89" s="1" t="s">
        <v>408</v>
      </c>
      <c r="C89" s="1" t="s">
        <v>337</v>
      </c>
      <c r="D89" s="1" t="s">
        <v>8</v>
      </c>
      <c r="E89" s="6">
        <v>40</v>
      </c>
      <c r="F89" s="6"/>
      <c r="G89" s="6" t="s">
        <v>5</v>
      </c>
      <c r="H89" s="6">
        <f t="shared" ref="H89:H134" si="3">(E89+F89)</f>
        <v>40</v>
      </c>
      <c r="I89" s="6"/>
      <c r="J89" s="6"/>
      <c r="K89" s="6"/>
      <c r="L89" s="12"/>
      <c r="M89" s="10"/>
    </row>
    <row r="90" spans="1:13" ht="15.6">
      <c r="A90" s="1" t="s">
        <v>335</v>
      </c>
      <c r="B90" s="1" t="s">
        <v>408</v>
      </c>
      <c r="C90" s="1" t="s">
        <v>337</v>
      </c>
      <c r="D90" s="1" t="s">
        <v>8</v>
      </c>
      <c r="E90" s="6">
        <v>37</v>
      </c>
      <c r="F90" s="6"/>
      <c r="G90" s="6" t="s">
        <v>116</v>
      </c>
      <c r="H90" s="6">
        <f t="shared" si="3"/>
        <v>37</v>
      </c>
      <c r="I90" s="6"/>
      <c r="J90" s="6"/>
      <c r="K90" s="6"/>
      <c r="L90" s="12"/>
      <c r="M90" s="10" t="s">
        <v>349</v>
      </c>
    </row>
    <row r="91" spans="1:13" ht="15.6">
      <c r="A91" s="1" t="s">
        <v>196</v>
      </c>
      <c r="B91" s="1" t="s">
        <v>760</v>
      </c>
      <c r="C91" s="1" t="s">
        <v>197</v>
      </c>
      <c r="D91" s="1" t="s">
        <v>8</v>
      </c>
      <c r="E91" s="6">
        <v>560</v>
      </c>
      <c r="F91" s="6"/>
      <c r="G91" s="6" t="s">
        <v>5</v>
      </c>
      <c r="H91" s="6">
        <f t="shared" si="3"/>
        <v>560</v>
      </c>
      <c r="I91" s="6"/>
      <c r="J91" s="6"/>
      <c r="K91" s="6"/>
      <c r="L91" s="12"/>
      <c r="M91" s="10"/>
    </row>
    <row r="92" spans="1:13" ht="15.6">
      <c r="A92" s="1" t="s">
        <v>615</v>
      </c>
      <c r="B92" s="1" t="s">
        <v>273</v>
      </c>
      <c r="C92" s="1" t="s">
        <v>461</v>
      </c>
      <c r="D92" s="1" t="s">
        <v>8</v>
      </c>
      <c r="E92" s="6">
        <v>989</v>
      </c>
      <c r="F92" s="6"/>
      <c r="G92" s="6" t="s">
        <v>5</v>
      </c>
      <c r="H92" s="6">
        <f t="shared" si="3"/>
        <v>989</v>
      </c>
      <c r="I92" s="6"/>
      <c r="J92" s="6"/>
      <c r="K92" s="6"/>
      <c r="L92" s="12"/>
      <c r="M92" s="10"/>
    </row>
    <row r="93" spans="1:13" ht="15.6">
      <c r="A93" s="1" t="s">
        <v>462</v>
      </c>
      <c r="B93" s="1" t="s">
        <v>463</v>
      </c>
      <c r="C93" s="1" t="s">
        <v>464</v>
      </c>
      <c r="D93" s="1" t="s">
        <v>8</v>
      </c>
      <c r="E93" s="6">
        <v>258</v>
      </c>
      <c r="F93" s="6"/>
      <c r="G93" s="6" t="s">
        <v>5</v>
      </c>
      <c r="H93" s="6">
        <f t="shared" si="3"/>
        <v>258</v>
      </c>
      <c r="I93" s="6"/>
      <c r="J93" s="6"/>
      <c r="K93" s="6"/>
      <c r="L93" s="12"/>
      <c r="M93" s="10"/>
    </row>
    <row r="94" spans="1:13" ht="15.6">
      <c r="A94" s="1" t="s">
        <v>13</v>
      </c>
      <c r="B94" s="1" t="s">
        <v>38</v>
      </c>
      <c r="C94" s="1" t="s">
        <v>491</v>
      </c>
      <c r="D94" s="1" t="s">
        <v>8</v>
      </c>
      <c r="E94" s="6">
        <v>475</v>
      </c>
      <c r="F94" s="6"/>
      <c r="G94" s="6" t="s">
        <v>5</v>
      </c>
      <c r="H94" s="6">
        <f t="shared" si="3"/>
        <v>475</v>
      </c>
      <c r="I94" s="6"/>
      <c r="J94" s="6"/>
      <c r="K94" s="6"/>
      <c r="L94" s="12"/>
      <c r="M94" s="10"/>
    </row>
    <row r="95" spans="1:13" ht="15.6">
      <c r="A95" s="1" t="s">
        <v>493</v>
      </c>
      <c r="B95" s="1"/>
      <c r="C95" s="1" t="s">
        <v>492</v>
      </c>
      <c r="D95" s="1" t="s">
        <v>8</v>
      </c>
      <c r="E95" s="6">
        <v>380</v>
      </c>
      <c r="F95" s="6"/>
      <c r="G95" s="6" t="s">
        <v>5</v>
      </c>
      <c r="H95" s="6">
        <f t="shared" si="3"/>
        <v>380</v>
      </c>
      <c r="I95" s="6"/>
      <c r="J95" s="6"/>
      <c r="K95" s="6"/>
      <c r="L95" s="12"/>
      <c r="M95" s="10"/>
    </row>
    <row r="96" spans="1:13" ht="15.6">
      <c r="A96" s="1" t="s">
        <v>13</v>
      </c>
      <c r="B96" s="1" t="s">
        <v>494</v>
      </c>
      <c r="C96" s="1" t="s">
        <v>1157</v>
      </c>
      <c r="D96" s="1" t="s">
        <v>8</v>
      </c>
      <c r="E96" s="6">
        <v>369</v>
      </c>
      <c r="F96" s="6"/>
      <c r="G96" s="6" t="s">
        <v>5</v>
      </c>
      <c r="H96" s="6">
        <f t="shared" si="3"/>
        <v>369</v>
      </c>
      <c r="I96" s="6"/>
      <c r="J96" s="6"/>
      <c r="K96" s="6"/>
      <c r="L96" s="12"/>
      <c r="M96" s="10"/>
    </row>
    <row r="97" spans="1:13" ht="15.6">
      <c r="A97" s="1" t="s">
        <v>13</v>
      </c>
      <c r="B97" s="1" t="s">
        <v>38</v>
      </c>
      <c r="C97" s="1" t="s">
        <v>529</v>
      </c>
      <c r="D97" s="1" t="s">
        <v>8</v>
      </c>
      <c r="E97" s="6">
        <v>295</v>
      </c>
      <c r="F97" s="6"/>
      <c r="G97" s="6" t="s">
        <v>5</v>
      </c>
      <c r="H97" s="6">
        <f t="shared" si="3"/>
        <v>295</v>
      </c>
      <c r="I97" s="6"/>
      <c r="J97" s="6"/>
      <c r="K97" s="6"/>
      <c r="L97" s="12"/>
      <c r="M97" s="10"/>
    </row>
    <row r="98" spans="1:13" ht="15.6">
      <c r="A98" s="1" t="s">
        <v>13</v>
      </c>
      <c r="B98" s="1" t="s">
        <v>77</v>
      </c>
      <c r="C98" s="1" t="s">
        <v>530</v>
      </c>
      <c r="D98" s="1" t="s">
        <v>8</v>
      </c>
      <c r="E98" s="6">
        <v>840</v>
      </c>
      <c r="F98" s="6"/>
      <c r="G98" s="6" t="s">
        <v>5</v>
      </c>
      <c r="H98" s="6">
        <f t="shared" si="3"/>
        <v>840</v>
      </c>
      <c r="I98" s="6"/>
      <c r="J98" s="6"/>
      <c r="K98" s="6"/>
      <c r="L98" s="12"/>
      <c r="M98" s="10"/>
    </row>
    <row r="99" spans="1:13" ht="15.6">
      <c r="A99" s="1" t="s">
        <v>13</v>
      </c>
      <c r="B99" s="1" t="s">
        <v>38</v>
      </c>
      <c r="C99" s="1" t="s">
        <v>547</v>
      </c>
      <c r="D99" s="1" t="s">
        <v>8</v>
      </c>
      <c r="E99" s="6">
        <v>260</v>
      </c>
      <c r="F99" s="6"/>
      <c r="G99" s="6" t="s">
        <v>5</v>
      </c>
      <c r="H99" s="6">
        <f t="shared" si="3"/>
        <v>260</v>
      </c>
      <c r="I99" s="6"/>
      <c r="J99" s="6"/>
      <c r="K99" s="6"/>
      <c r="L99" s="12"/>
      <c r="M99" s="10"/>
    </row>
    <row r="100" spans="1:13" ht="15.6">
      <c r="A100" s="1" t="s">
        <v>13</v>
      </c>
      <c r="B100" s="1" t="s">
        <v>38</v>
      </c>
      <c r="C100" s="1" t="s">
        <v>548</v>
      </c>
      <c r="D100" s="1" t="s">
        <v>8</v>
      </c>
      <c r="E100" s="6">
        <v>265</v>
      </c>
      <c r="F100" s="6"/>
      <c r="G100" s="6" t="s">
        <v>5</v>
      </c>
      <c r="H100" s="6">
        <f t="shared" si="3"/>
        <v>265</v>
      </c>
      <c r="I100" s="6"/>
      <c r="J100" s="6"/>
      <c r="K100" s="6"/>
      <c r="L100" s="12"/>
      <c r="M100" s="10"/>
    </row>
    <row r="101" spans="1:13" ht="15.6">
      <c r="A101" s="1" t="s">
        <v>13</v>
      </c>
      <c r="B101" s="1" t="s">
        <v>38</v>
      </c>
      <c r="C101" s="1" t="s">
        <v>592</v>
      </c>
      <c r="D101" s="1" t="s">
        <v>8</v>
      </c>
      <c r="E101" s="6">
        <v>620</v>
      </c>
      <c r="F101" s="6"/>
      <c r="G101" s="6" t="s">
        <v>5</v>
      </c>
      <c r="H101" s="6">
        <f t="shared" si="3"/>
        <v>620</v>
      </c>
      <c r="I101" s="6"/>
      <c r="J101" s="6"/>
      <c r="K101" s="6"/>
      <c r="L101" s="12"/>
      <c r="M101" s="10" t="s">
        <v>593</v>
      </c>
    </row>
    <row r="102" spans="1:13" ht="15.6">
      <c r="A102" s="1" t="s">
        <v>13</v>
      </c>
      <c r="B102" s="1" t="s">
        <v>38</v>
      </c>
      <c r="C102" s="1" t="s">
        <v>594</v>
      </c>
      <c r="D102" s="1" t="s">
        <v>8</v>
      </c>
      <c r="E102" s="6">
        <v>200</v>
      </c>
      <c r="F102" s="6"/>
      <c r="G102" s="6" t="s">
        <v>5</v>
      </c>
      <c r="H102" s="6">
        <f t="shared" si="3"/>
        <v>200</v>
      </c>
      <c r="I102" s="6"/>
      <c r="J102" s="6"/>
      <c r="K102" s="6"/>
      <c r="L102" s="12"/>
      <c r="M102" s="10" t="s">
        <v>593</v>
      </c>
    </row>
    <row r="103" spans="1:13" ht="15.6">
      <c r="A103" s="1" t="s">
        <v>13</v>
      </c>
      <c r="B103" s="1" t="s">
        <v>38</v>
      </c>
      <c r="C103" s="1" t="s">
        <v>595</v>
      </c>
      <c r="D103" s="1" t="s">
        <v>8</v>
      </c>
      <c r="E103" s="6">
        <v>280</v>
      </c>
      <c r="F103" s="6"/>
      <c r="G103" s="6" t="s">
        <v>5</v>
      </c>
      <c r="H103" s="6">
        <f t="shared" si="3"/>
        <v>280</v>
      </c>
      <c r="I103" s="6"/>
      <c r="J103" s="6"/>
      <c r="K103" s="6"/>
      <c r="L103" s="12"/>
      <c r="M103" s="10" t="s">
        <v>593</v>
      </c>
    </row>
    <row r="104" spans="1:13" ht="15.6">
      <c r="A104" s="1" t="s">
        <v>13</v>
      </c>
      <c r="B104" s="1" t="s">
        <v>38</v>
      </c>
      <c r="C104" s="1" t="s">
        <v>596</v>
      </c>
      <c r="D104" s="1" t="s">
        <v>8</v>
      </c>
      <c r="E104" s="6">
        <v>190</v>
      </c>
      <c r="F104" s="6"/>
      <c r="G104" s="6" t="s">
        <v>5</v>
      </c>
      <c r="H104" s="6">
        <f t="shared" si="3"/>
        <v>190</v>
      </c>
      <c r="I104" s="6"/>
      <c r="J104" s="6"/>
      <c r="K104" s="6"/>
      <c r="L104" s="12"/>
      <c r="M104" s="10" t="s">
        <v>593</v>
      </c>
    </row>
    <row r="105" spans="1:13" ht="15.6">
      <c r="A105" s="1" t="s">
        <v>650</v>
      </c>
      <c r="B105" s="1" t="s">
        <v>640</v>
      </c>
      <c r="C105" s="1" t="s">
        <v>639</v>
      </c>
      <c r="D105" s="1" t="s">
        <v>8</v>
      </c>
      <c r="E105" s="6">
        <v>300</v>
      </c>
      <c r="F105" s="6"/>
      <c r="G105" s="6" t="s">
        <v>5</v>
      </c>
      <c r="H105" s="6">
        <f t="shared" si="3"/>
        <v>300</v>
      </c>
      <c r="I105" s="6"/>
      <c r="J105" s="6"/>
      <c r="K105" s="6"/>
      <c r="L105" s="12"/>
      <c r="M105" s="10"/>
    </row>
    <row r="106" spans="1:13" ht="15.6">
      <c r="A106" s="1" t="s">
        <v>395</v>
      </c>
      <c r="B106" s="1" t="s">
        <v>587</v>
      </c>
      <c r="C106" s="1" t="s">
        <v>397</v>
      </c>
      <c r="D106" s="1" t="s">
        <v>8</v>
      </c>
      <c r="E106" s="6">
        <v>935</v>
      </c>
      <c r="F106" s="6"/>
      <c r="G106" s="6" t="s">
        <v>5</v>
      </c>
      <c r="H106" s="6">
        <f t="shared" si="3"/>
        <v>935</v>
      </c>
      <c r="I106" s="6"/>
      <c r="J106" s="6"/>
      <c r="K106" s="6"/>
      <c r="L106" s="12"/>
      <c r="M106" s="10"/>
    </row>
    <row r="107" spans="1:13" ht="15.6">
      <c r="A107" s="1" t="s">
        <v>13</v>
      </c>
      <c r="B107" s="1" t="s">
        <v>38</v>
      </c>
      <c r="C107" s="1" t="s">
        <v>642</v>
      </c>
      <c r="D107" s="1" t="s">
        <v>8</v>
      </c>
      <c r="E107" s="6">
        <v>400</v>
      </c>
      <c r="F107" s="6"/>
      <c r="G107" s="6" t="s">
        <v>5</v>
      </c>
      <c r="H107" s="6">
        <f t="shared" si="3"/>
        <v>400</v>
      </c>
      <c r="I107" s="6"/>
      <c r="J107" s="6"/>
      <c r="K107" s="6"/>
      <c r="L107" s="12"/>
      <c r="M107" s="10"/>
    </row>
    <row r="108" spans="1:13" ht="15.6">
      <c r="A108" s="1" t="s">
        <v>13</v>
      </c>
      <c r="B108" s="1" t="s">
        <v>96</v>
      </c>
      <c r="C108" s="1" t="s">
        <v>643</v>
      </c>
      <c r="D108" s="1" t="s">
        <v>8</v>
      </c>
      <c r="E108" s="6">
        <v>440</v>
      </c>
      <c r="F108" s="6"/>
      <c r="G108" s="6" t="s">
        <v>5</v>
      </c>
      <c r="H108" s="6">
        <f t="shared" si="3"/>
        <v>440</v>
      </c>
      <c r="I108" s="6"/>
      <c r="J108" s="6"/>
      <c r="K108" s="6"/>
      <c r="L108" s="12"/>
      <c r="M108" s="10"/>
    </row>
    <row r="109" spans="1:13" ht="15.6">
      <c r="A109" s="1" t="s">
        <v>600</v>
      </c>
      <c r="B109" s="1" t="s">
        <v>544</v>
      </c>
      <c r="C109" s="1" t="s">
        <v>644</v>
      </c>
      <c r="D109" s="1" t="s">
        <v>8</v>
      </c>
      <c r="E109" s="6">
        <v>1280</v>
      </c>
      <c r="F109" s="6">
        <v>30</v>
      </c>
      <c r="G109" s="6" t="s">
        <v>5</v>
      </c>
      <c r="H109" s="6">
        <f t="shared" si="3"/>
        <v>1310</v>
      </c>
      <c r="I109" s="6"/>
      <c r="J109" s="6"/>
      <c r="K109" s="6"/>
      <c r="L109" s="12"/>
      <c r="M109" s="10"/>
    </row>
    <row r="110" spans="1:13" ht="15.6">
      <c r="A110" s="1" t="s">
        <v>574</v>
      </c>
      <c r="B110" s="1" t="s">
        <v>38</v>
      </c>
      <c r="C110" s="1" t="s">
        <v>675</v>
      </c>
      <c r="D110" s="1" t="s">
        <v>8</v>
      </c>
      <c r="E110" s="6">
        <v>360</v>
      </c>
      <c r="F110" s="6"/>
      <c r="G110" s="6" t="s">
        <v>5</v>
      </c>
      <c r="H110" s="6">
        <f t="shared" si="3"/>
        <v>360</v>
      </c>
      <c r="I110" s="6"/>
      <c r="J110" s="6"/>
      <c r="K110" s="6"/>
      <c r="L110" s="12"/>
      <c r="M110" s="10" t="s">
        <v>593</v>
      </c>
    </row>
    <row r="111" spans="1:13" ht="15.6">
      <c r="A111" s="1" t="s">
        <v>650</v>
      </c>
      <c r="B111" s="1" t="s">
        <v>683</v>
      </c>
      <c r="C111" s="1" t="s">
        <v>682</v>
      </c>
      <c r="D111" s="1" t="s">
        <v>8</v>
      </c>
      <c r="E111" s="6">
        <v>330</v>
      </c>
      <c r="F111" s="6"/>
      <c r="G111" s="6" t="s">
        <v>5</v>
      </c>
      <c r="H111" s="6">
        <f t="shared" si="3"/>
        <v>330</v>
      </c>
      <c r="I111" s="6"/>
      <c r="J111" s="6"/>
      <c r="K111" s="6"/>
      <c r="L111" s="12"/>
      <c r="M111" s="10"/>
    </row>
    <row r="112" spans="1:13" ht="15.6">
      <c r="A112" s="1" t="s">
        <v>688</v>
      </c>
      <c r="B112" s="1" t="s">
        <v>588</v>
      </c>
      <c r="C112" s="1" t="s">
        <v>687</v>
      </c>
      <c r="D112" s="1" t="s">
        <v>8</v>
      </c>
      <c r="E112" s="6">
        <v>740</v>
      </c>
      <c r="F112" s="6"/>
      <c r="G112" s="6" t="s">
        <v>319</v>
      </c>
      <c r="H112" s="6">
        <f t="shared" si="3"/>
        <v>740</v>
      </c>
      <c r="I112" s="6"/>
      <c r="J112" s="6"/>
      <c r="K112" s="6"/>
      <c r="L112" s="12"/>
      <c r="M112" s="10"/>
    </row>
    <row r="113" spans="1:14" ht="15.6">
      <c r="A113" s="1" t="s">
        <v>693</v>
      </c>
      <c r="B113" s="1" t="s">
        <v>588</v>
      </c>
      <c r="C113" s="1" t="s">
        <v>689</v>
      </c>
      <c r="D113" s="1" t="s">
        <v>8</v>
      </c>
      <c r="E113" s="6">
        <v>600</v>
      </c>
      <c r="F113" s="6"/>
      <c r="G113" s="6" t="s">
        <v>319</v>
      </c>
      <c r="H113" s="6">
        <f t="shared" si="3"/>
        <v>600</v>
      </c>
      <c r="I113" s="6"/>
      <c r="J113" s="6"/>
      <c r="K113" s="6"/>
      <c r="L113" s="12"/>
      <c r="M113" s="10"/>
    </row>
    <row r="114" spans="1:14" ht="15.6">
      <c r="A114" s="1" t="s">
        <v>580</v>
      </c>
      <c r="B114" s="1" t="s">
        <v>552</v>
      </c>
      <c r="C114" s="1" t="s">
        <v>703</v>
      </c>
      <c r="D114" s="1" t="s">
        <v>8</v>
      </c>
      <c r="E114" s="6">
        <v>1145</v>
      </c>
      <c r="F114" s="6"/>
      <c r="G114" s="6" t="s">
        <v>319</v>
      </c>
      <c r="H114" s="6">
        <f t="shared" si="3"/>
        <v>1145</v>
      </c>
      <c r="I114" s="6"/>
      <c r="J114" s="6"/>
      <c r="K114" s="6"/>
      <c r="L114" s="12"/>
      <c r="M114" s="10"/>
    </row>
    <row r="115" spans="1:14" ht="15.6">
      <c r="A115" s="1" t="s">
        <v>13</v>
      </c>
      <c r="B115" s="1" t="s">
        <v>38</v>
      </c>
      <c r="C115" s="1" t="s">
        <v>712</v>
      </c>
      <c r="D115" s="1" t="s">
        <v>8</v>
      </c>
      <c r="E115" s="6">
        <v>368</v>
      </c>
      <c r="F115" s="6"/>
      <c r="G115" s="6" t="s">
        <v>319</v>
      </c>
      <c r="H115" s="6">
        <f t="shared" si="3"/>
        <v>368</v>
      </c>
      <c r="I115" s="6"/>
      <c r="J115" s="6"/>
      <c r="K115" s="6"/>
      <c r="L115" s="12"/>
      <c r="M115" s="10" t="s">
        <v>713</v>
      </c>
    </row>
    <row r="116" spans="1:14" ht="15.6">
      <c r="A116" s="1" t="s">
        <v>13</v>
      </c>
      <c r="B116" s="1" t="s">
        <v>38</v>
      </c>
      <c r="C116" s="1" t="s">
        <v>735</v>
      </c>
      <c r="D116" s="1" t="s">
        <v>8</v>
      </c>
      <c r="E116" s="6">
        <v>105</v>
      </c>
      <c r="F116" s="6"/>
      <c r="G116" s="6" t="s">
        <v>319</v>
      </c>
      <c r="H116" s="6">
        <f t="shared" si="3"/>
        <v>105</v>
      </c>
      <c r="I116" s="6"/>
      <c r="J116" s="6"/>
      <c r="K116" s="6"/>
      <c r="L116" s="12"/>
      <c r="M116" s="10"/>
    </row>
    <row r="117" spans="1:14" ht="15.6">
      <c r="A117" s="1" t="s">
        <v>738</v>
      </c>
      <c r="B117" s="1" t="s">
        <v>673</v>
      </c>
      <c r="C117" s="1" t="s">
        <v>737</v>
      </c>
      <c r="D117" s="1" t="s">
        <v>8</v>
      </c>
      <c r="E117" s="6">
        <v>780</v>
      </c>
      <c r="F117" s="6"/>
      <c r="G117" s="6" t="s">
        <v>116</v>
      </c>
      <c r="H117" s="6">
        <f t="shared" si="3"/>
        <v>780</v>
      </c>
      <c r="I117" s="6">
        <v>780</v>
      </c>
      <c r="J117" s="6">
        <v>865</v>
      </c>
      <c r="K117" s="6">
        <f>(J117-I117)</f>
        <v>85</v>
      </c>
      <c r="L117" s="12">
        <f>ROUND(K117/I117,4)</f>
        <v>0.109</v>
      </c>
      <c r="M117" s="10" t="s">
        <v>736</v>
      </c>
    </row>
    <row r="118" spans="1:14" ht="15.6">
      <c r="A118" s="1" t="s">
        <v>13</v>
      </c>
      <c r="B118" s="1" t="s">
        <v>38</v>
      </c>
      <c r="C118" s="1" t="s">
        <v>963</v>
      </c>
      <c r="D118" s="1" t="s">
        <v>8</v>
      </c>
      <c r="E118" s="6">
        <v>170</v>
      </c>
      <c r="F118" s="6"/>
      <c r="G118" s="6" t="s">
        <v>319</v>
      </c>
      <c r="H118" s="6">
        <f t="shared" si="3"/>
        <v>170</v>
      </c>
      <c r="I118" s="6"/>
      <c r="J118" s="6"/>
      <c r="K118" s="6"/>
      <c r="L118" s="12"/>
      <c r="M118" s="10"/>
    </row>
    <row r="119" spans="1:14" ht="15.6">
      <c r="A119" s="1" t="s">
        <v>1001</v>
      </c>
      <c r="B119" s="1" t="s">
        <v>651</v>
      </c>
      <c r="C119" s="1" t="s">
        <v>1000</v>
      </c>
      <c r="D119" s="1" t="s">
        <v>8</v>
      </c>
      <c r="E119" s="6">
        <v>35</v>
      </c>
      <c r="F119" s="6"/>
      <c r="G119" s="6" t="s">
        <v>319</v>
      </c>
      <c r="H119" s="6">
        <f t="shared" si="3"/>
        <v>35</v>
      </c>
      <c r="I119" s="6"/>
      <c r="J119" s="6"/>
      <c r="K119" s="6"/>
      <c r="L119" s="12"/>
      <c r="M119" s="10"/>
    </row>
    <row r="120" spans="1:14" ht="15.6">
      <c r="A120" s="1" t="s">
        <v>1001</v>
      </c>
      <c r="B120" s="1" t="s">
        <v>651</v>
      </c>
      <c r="C120" s="1" t="s">
        <v>1000</v>
      </c>
      <c r="D120" s="1" t="s">
        <v>8</v>
      </c>
      <c r="E120" s="6">
        <v>35</v>
      </c>
      <c r="F120" s="6"/>
      <c r="G120" s="6" t="s">
        <v>319</v>
      </c>
      <c r="H120" s="6">
        <f t="shared" si="3"/>
        <v>35</v>
      </c>
      <c r="M120" s="10"/>
    </row>
    <row r="121" spans="1:14" ht="15.6">
      <c r="A121" s="1" t="s">
        <v>13</v>
      </c>
      <c r="B121" s="1" t="s">
        <v>38</v>
      </c>
      <c r="C121" s="1" t="s">
        <v>773</v>
      </c>
      <c r="D121" s="1" t="s">
        <v>8</v>
      </c>
      <c r="E121" s="6">
        <v>75</v>
      </c>
      <c r="F121" s="6"/>
      <c r="G121" s="6" t="s">
        <v>319</v>
      </c>
      <c r="H121" s="6">
        <f t="shared" si="3"/>
        <v>75</v>
      </c>
      <c r="M121" s="10" t="s">
        <v>1150</v>
      </c>
    </row>
    <row r="122" spans="1:14" ht="15.6">
      <c r="A122" s="1" t="s">
        <v>13</v>
      </c>
      <c r="B122" s="1" t="s">
        <v>38</v>
      </c>
      <c r="C122" s="1" t="s">
        <v>1151</v>
      </c>
      <c r="D122" s="1" t="s">
        <v>8</v>
      </c>
      <c r="E122" s="6">
        <v>67</v>
      </c>
      <c r="F122" s="6"/>
      <c r="G122" s="6" t="s">
        <v>319</v>
      </c>
      <c r="H122" s="6">
        <f t="shared" si="3"/>
        <v>67</v>
      </c>
      <c r="M122" s="10" t="s">
        <v>983</v>
      </c>
    </row>
    <row r="123" spans="1:14" ht="15.6">
      <c r="A123" s="1" t="s">
        <v>13</v>
      </c>
      <c r="B123" s="1" t="s">
        <v>38</v>
      </c>
      <c r="C123" s="1" t="s">
        <v>1152</v>
      </c>
      <c r="D123" s="1" t="s">
        <v>8</v>
      </c>
      <c r="E123" s="6">
        <v>135</v>
      </c>
      <c r="F123" s="6"/>
      <c r="G123" s="6" t="s">
        <v>319</v>
      </c>
      <c r="H123" s="6">
        <f t="shared" si="3"/>
        <v>135</v>
      </c>
      <c r="M123" s="10" t="s">
        <v>1154</v>
      </c>
    </row>
    <row r="124" spans="1:14" ht="15.6">
      <c r="A124" s="1" t="s">
        <v>13</v>
      </c>
      <c r="B124" s="1" t="s">
        <v>38</v>
      </c>
      <c r="C124" s="1" t="s">
        <v>1153</v>
      </c>
      <c r="D124" s="1" t="s">
        <v>8</v>
      </c>
      <c r="E124" s="6">
        <v>66</v>
      </c>
      <c r="F124" s="6"/>
      <c r="G124" s="6" t="s">
        <v>319</v>
      </c>
      <c r="H124" s="6">
        <f t="shared" si="3"/>
        <v>66</v>
      </c>
      <c r="M124" s="10" t="s">
        <v>983</v>
      </c>
    </row>
    <row r="125" spans="1:14" ht="15.6">
      <c r="A125" s="1" t="s">
        <v>13</v>
      </c>
      <c r="B125" s="1" t="s">
        <v>38</v>
      </c>
      <c r="C125" s="1" t="s">
        <v>1007</v>
      </c>
      <c r="D125" s="1" t="s">
        <v>8</v>
      </c>
      <c r="E125" s="6">
        <v>230</v>
      </c>
      <c r="F125" s="6"/>
      <c r="G125" s="6" t="s">
        <v>319</v>
      </c>
      <c r="H125" s="6">
        <f t="shared" si="3"/>
        <v>230</v>
      </c>
      <c r="M125" s="10"/>
    </row>
    <row r="126" spans="1:14" ht="15.6">
      <c r="A126" s="1" t="s">
        <v>1008</v>
      </c>
      <c r="B126" s="6" t="s">
        <v>127</v>
      </c>
      <c r="C126" t="s">
        <v>1009</v>
      </c>
      <c r="D126" s="1" t="s">
        <v>8</v>
      </c>
      <c r="E126" s="6">
        <v>1174</v>
      </c>
      <c r="F126" s="6"/>
      <c r="G126" s="6" t="s">
        <v>319</v>
      </c>
      <c r="H126" s="6">
        <f t="shared" si="3"/>
        <v>1174</v>
      </c>
      <c r="M126" s="10"/>
    </row>
    <row r="127" spans="1:14" ht="15.6">
      <c r="A127" s="6" t="s">
        <v>677</v>
      </c>
      <c r="B127" s="6" t="s">
        <v>651</v>
      </c>
      <c r="C127" s="1" t="s">
        <v>678</v>
      </c>
      <c r="D127" s="1" t="s">
        <v>8</v>
      </c>
      <c r="E127" s="6">
        <v>1008</v>
      </c>
      <c r="F127" s="6"/>
      <c r="G127" s="6" t="s">
        <v>319</v>
      </c>
      <c r="H127" s="6">
        <f t="shared" si="3"/>
        <v>1008</v>
      </c>
      <c r="I127" s="6"/>
      <c r="J127" s="6"/>
      <c r="K127" s="6"/>
      <c r="L127" s="12"/>
      <c r="M127" s="6"/>
      <c r="N127" s="6"/>
    </row>
    <row r="128" spans="1:14" ht="15.6">
      <c r="A128" s="1" t="s">
        <v>13</v>
      </c>
      <c r="B128" s="1" t="s">
        <v>38</v>
      </c>
      <c r="C128" s="1" t="s">
        <v>1054</v>
      </c>
      <c r="D128" s="1" t="s">
        <v>8</v>
      </c>
      <c r="E128" s="6">
        <v>110</v>
      </c>
      <c r="F128" s="6"/>
      <c r="G128" s="6" t="s">
        <v>319</v>
      </c>
      <c r="H128" s="6">
        <f t="shared" si="3"/>
        <v>110</v>
      </c>
      <c r="M128" s="10" t="s">
        <v>1055</v>
      </c>
    </row>
    <row r="129" spans="1:13" ht="15.6">
      <c r="A129" s="1" t="s">
        <v>13</v>
      </c>
      <c r="B129" s="1" t="s">
        <v>38</v>
      </c>
      <c r="C129" s="1" t="s">
        <v>1053</v>
      </c>
      <c r="D129" s="1" t="s">
        <v>8</v>
      </c>
      <c r="E129" s="6">
        <v>155</v>
      </c>
      <c r="F129" s="6"/>
      <c r="G129" s="6" t="s">
        <v>319</v>
      </c>
      <c r="H129" s="6">
        <f t="shared" si="3"/>
        <v>155</v>
      </c>
      <c r="M129" s="10" t="s">
        <v>1056</v>
      </c>
    </row>
    <row r="130" spans="1:13" ht="15.6">
      <c r="A130" s="1" t="s">
        <v>13</v>
      </c>
      <c r="B130" s="1" t="s">
        <v>38</v>
      </c>
      <c r="C130" s="1" t="s">
        <v>1064</v>
      </c>
      <c r="D130" s="1" t="s">
        <v>8</v>
      </c>
      <c r="E130" s="6">
        <v>374</v>
      </c>
      <c r="F130" s="6"/>
      <c r="G130" s="6" t="s">
        <v>319</v>
      </c>
      <c r="H130" s="6">
        <f t="shared" si="3"/>
        <v>374</v>
      </c>
      <c r="M130" s="10" t="s">
        <v>1065</v>
      </c>
    </row>
    <row r="131" spans="1:13" ht="15.6">
      <c r="A131" s="6" t="s">
        <v>600</v>
      </c>
      <c r="B131" s="6" t="s">
        <v>273</v>
      </c>
      <c r="C131" s="1" t="s">
        <v>1095</v>
      </c>
      <c r="D131" s="1" t="s">
        <v>8</v>
      </c>
      <c r="E131" s="6">
        <v>910</v>
      </c>
      <c r="F131" s="6"/>
      <c r="G131" s="6" t="s">
        <v>319</v>
      </c>
      <c r="H131" s="6">
        <f t="shared" si="3"/>
        <v>910</v>
      </c>
    </row>
    <row r="132" spans="1:13" ht="15.6">
      <c r="A132" s="6" t="s">
        <v>574</v>
      </c>
      <c r="B132" s="6" t="s">
        <v>38</v>
      </c>
      <c r="C132" s="6" t="s">
        <v>1106</v>
      </c>
      <c r="D132" s="6" t="s">
        <v>29</v>
      </c>
      <c r="E132" s="6">
        <v>80</v>
      </c>
      <c r="G132" s="6" t="s">
        <v>5</v>
      </c>
      <c r="H132" s="6">
        <f t="shared" si="3"/>
        <v>80</v>
      </c>
      <c r="I132" s="6"/>
      <c r="J132" s="6"/>
      <c r="K132" s="6"/>
      <c r="L132" s="12"/>
      <c r="M132" s="10" t="s">
        <v>983</v>
      </c>
    </row>
    <row r="133" spans="1:13" ht="15.6">
      <c r="A133" s="6" t="s">
        <v>574</v>
      </c>
      <c r="B133" s="1" t="s">
        <v>1137</v>
      </c>
      <c r="C133" s="1" t="s">
        <v>1138</v>
      </c>
      <c r="D133" s="1" t="s">
        <v>8</v>
      </c>
      <c r="E133" s="6">
        <v>487</v>
      </c>
      <c r="F133" s="6">
        <v>27</v>
      </c>
      <c r="G133" s="6" t="s">
        <v>5</v>
      </c>
      <c r="H133" s="6">
        <f t="shared" si="3"/>
        <v>514</v>
      </c>
    </row>
    <row r="134" spans="1:13" ht="15.6">
      <c r="A134" s="1" t="s">
        <v>1177</v>
      </c>
      <c r="B134" s="6" t="s">
        <v>273</v>
      </c>
      <c r="C134" s="1" t="s">
        <v>1176</v>
      </c>
      <c r="D134" s="1" t="s">
        <v>8</v>
      </c>
      <c r="E134" s="6">
        <v>589</v>
      </c>
      <c r="F134" s="6"/>
      <c r="G134" s="6" t="s">
        <v>5</v>
      </c>
      <c r="H134" s="6">
        <f t="shared" si="3"/>
        <v>589</v>
      </c>
    </row>
    <row r="135" spans="1:13" ht="15.6">
      <c r="A135" s="1" t="s">
        <v>13</v>
      </c>
      <c r="B135" s="1" t="s">
        <v>38</v>
      </c>
      <c r="C135" s="1" t="s">
        <v>1764</v>
      </c>
      <c r="D135" s="1" t="s">
        <v>8</v>
      </c>
      <c r="E135" s="6">
        <v>115</v>
      </c>
      <c r="F135" s="6"/>
      <c r="G135" s="6" t="s">
        <v>319</v>
      </c>
      <c r="H135" s="6">
        <f>(E135+F135)</f>
        <v>115</v>
      </c>
      <c r="I135" s="6">
        <v>58</v>
      </c>
      <c r="J135" s="6">
        <v>70</v>
      </c>
      <c r="K135" s="6">
        <f>(J135-I135)</f>
        <v>12</v>
      </c>
      <c r="L135" s="12">
        <f>ROUND(K135/I135,4)</f>
        <v>0.2069</v>
      </c>
      <c r="M135" s="6" t="s">
        <v>1765</v>
      </c>
    </row>
    <row r="136" spans="1:13" ht="15.6">
      <c r="A136" s="1"/>
      <c r="B136" s="1"/>
      <c r="D136" s="1"/>
      <c r="E136" s="6"/>
      <c r="F136" s="6"/>
      <c r="G136" s="6"/>
      <c r="H136" s="6"/>
    </row>
    <row r="137" spans="1:13" ht="15.6">
      <c r="A137" s="1"/>
      <c r="B137" s="1"/>
      <c r="D137" s="1"/>
      <c r="E137" s="6"/>
      <c r="F137" s="6"/>
      <c r="G137" s="6"/>
      <c r="H137" s="6"/>
    </row>
    <row r="138" spans="1:13" ht="15.6">
      <c r="A138" s="1"/>
      <c r="B138" s="1"/>
      <c r="D138" s="1"/>
      <c r="E138" s="6"/>
      <c r="F138" s="6"/>
      <c r="G138" s="6"/>
      <c r="H138" s="6"/>
    </row>
    <row r="139" spans="1:13" ht="15.6">
      <c r="A139" s="1"/>
      <c r="B139" s="1"/>
      <c r="D139" s="1"/>
      <c r="E139" s="6"/>
      <c r="F139" s="6"/>
      <c r="G139" s="6"/>
      <c r="H139" s="6"/>
    </row>
    <row r="140" spans="1:13" ht="15.6">
      <c r="A140" s="1"/>
      <c r="B140" s="1"/>
      <c r="D140" s="1"/>
      <c r="E140" s="6"/>
      <c r="F140" s="6"/>
      <c r="G140" s="6"/>
      <c r="H140" s="6"/>
    </row>
    <row r="141" spans="1:13" ht="15.6">
      <c r="A141" s="1"/>
      <c r="B141" s="1"/>
      <c r="D141" s="1"/>
      <c r="E141" s="6"/>
      <c r="F141" s="6"/>
      <c r="G141" s="6"/>
      <c r="H141" s="6"/>
    </row>
    <row r="142" spans="1:13" ht="15.6">
      <c r="A142" s="1"/>
      <c r="B142" s="1"/>
      <c r="D142" s="1"/>
      <c r="E142" s="6"/>
      <c r="F142" s="6"/>
      <c r="G142" s="6"/>
      <c r="H142" s="6"/>
    </row>
    <row r="143" spans="1:13" ht="15.6">
      <c r="A143" s="1"/>
      <c r="B143" s="1"/>
      <c r="D143" s="1"/>
      <c r="E143" s="6"/>
      <c r="F143" s="6"/>
      <c r="G143" s="6"/>
      <c r="H143" s="6"/>
    </row>
    <row r="144" spans="1:13" ht="15.6">
      <c r="A144" s="1"/>
      <c r="B144" s="1"/>
      <c r="D144" s="1"/>
      <c r="E144" s="6"/>
      <c r="F144" s="6"/>
      <c r="G144" s="6"/>
      <c r="H144" s="6"/>
    </row>
    <row r="145" spans="1:8" ht="15.6">
      <c r="A145" s="1"/>
      <c r="B145" s="1"/>
      <c r="D145" s="1"/>
      <c r="E145" s="6"/>
      <c r="F145" s="6"/>
      <c r="G145" s="6"/>
      <c r="H145" s="6"/>
    </row>
    <row r="146" spans="1:8" ht="15.6">
      <c r="A146" s="1"/>
      <c r="B146" s="1"/>
      <c r="D146" s="1"/>
      <c r="E146" s="6"/>
      <c r="F146" s="6"/>
      <c r="G146" s="6"/>
      <c r="H146" s="6"/>
    </row>
  </sheetData>
  <autoFilter ref="A1:M113" xr:uid="{984A7B67-CC21-4C63-8028-A4DB4BEE57C9}"/>
  <phoneticPr fontId="1"/>
  <conditionalFormatting sqref="A5:B5 D5:M5 C2:C117 A123:H124 M123:M124 A119:F122 D125:H131 G119:M119 G120:H122 M120:M121 C125 A125:B126 A127:C127 I127:N127 M128:M130 A128:B131 A132:D132 G132:M132 A6:M118">
    <cfRule type="expression" dxfId="1691" priority="315">
      <formula>$G2="卖出"</formula>
    </cfRule>
  </conditionalFormatting>
  <conditionalFormatting sqref="A136:B146 B133 A134">
    <cfRule type="expression" dxfId="1690" priority="235">
      <formula>$G133="卖出"</formula>
    </cfRule>
  </conditionalFormatting>
  <conditionalFormatting sqref="H133 H136:H146">
    <cfRule type="expression" dxfId="1689" priority="234">
      <formula>$G133="卖出"</formula>
    </cfRule>
  </conditionalFormatting>
  <conditionalFormatting sqref="E133:E134 E136:E146">
    <cfRule type="expression" dxfId="1688" priority="232">
      <formula>$G133="卖出"</formula>
    </cfRule>
  </conditionalFormatting>
  <conditionalFormatting sqref="F133:F134 F136:F146">
    <cfRule type="expression" dxfId="1687" priority="233">
      <formula>$G133="卖出"</formula>
    </cfRule>
  </conditionalFormatting>
  <conditionalFormatting sqref="G136:G146">
    <cfRule type="expression" dxfId="1686" priority="230">
      <formula>$G136="卖出"</formula>
    </cfRule>
  </conditionalFormatting>
  <conditionalFormatting sqref="D136:D146">
    <cfRule type="expression" dxfId="1685" priority="231">
      <formula>$G136="卖出"</formula>
    </cfRule>
  </conditionalFormatting>
  <conditionalFormatting sqref="C5">
    <cfRule type="expression" dxfId="1684" priority="163">
      <formula>$G5="卖出"</formula>
    </cfRule>
  </conditionalFormatting>
  <conditionalFormatting sqref="C5">
    <cfRule type="duplicateValues" dxfId="1683" priority="164"/>
  </conditionalFormatting>
  <conditionalFormatting sqref="A2:B4 D2:M4">
    <cfRule type="expression" dxfId="1682" priority="162">
      <formula>$G2="卖出"</formula>
    </cfRule>
  </conditionalFormatting>
  <conditionalFormatting sqref="C2:C4">
    <cfRule type="expression" dxfId="1681" priority="160">
      <formula>$G2="卖出"</formula>
    </cfRule>
  </conditionalFormatting>
  <conditionalFormatting sqref="C2:C4">
    <cfRule type="duplicateValues" dxfId="1680" priority="161"/>
  </conditionalFormatting>
  <conditionalFormatting sqref="C2:C117">
    <cfRule type="duplicateValues" dxfId="1679" priority="2076"/>
  </conditionalFormatting>
  <conditionalFormatting sqref="C119 C97:C117">
    <cfRule type="duplicateValues" dxfId="1678" priority="131"/>
  </conditionalFormatting>
  <conditionalFormatting sqref="C118">
    <cfRule type="duplicateValues" dxfId="1677" priority="129"/>
  </conditionalFormatting>
  <conditionalFormatting sqref="C120">
    <cfRule type="duplicateValues" dxfId="1676" priority="123"/>
  </conditionalFormatting>
  <conditionalFormatting sqref="C121">
    <cfRule type="duplicateValues" dxfId="1675" priority="116"/>
  </conditionalFormatting>
  <conditionalFormatting sqref="C122">
    <cfRule type="duplicateValues" dxfId="1674" priority="112"/>
  </conditionalFormatting>
  <conditionalFormatting sqref="C123">
    <cfRule type="duplicateValues" dxfId="1673" priority="103"/>
  </conditionalFormatting>
  <conditionalFormatting sqref="C125">
    <cfRule type="duplicateValues" dxfId="1672" priority="97"/>
  </conditionalFormatting>
  <conditionalFormatting sqref="C127">
    <cfRule type="duplicateValues" dxfId="1671" priority="82"/>
  </conditionalFormatting>
  <conditionalFormatting sqref="C128:C131 C133:C134">
    <cfRule type="expression" dxfId="1670" priority="73">
      <formula>$E128="卖出"</formula>
    </cfRule>
  </conditionalFormatting>
  <conditionalFormatting sqref="C128">
    <cfRule type="duplicateValues" dxfId="1669" priority="74"/>
  </conditionalFormatting>
  <conditionalFormatting sqref="C129">
    <cfRule type="duplicateValues" dxfId="1668" priority="64"/>
  </conditionalFormatting>
  <conditionalFormatting sqref="C130">
    <cfRule type="duplicateValues" dxfId="1667" priority="54"/>
  </conditionalFormatting>
  <conditionalFormatting sqref="C124">
    <cfRule type="duplicateValues" dxfId="1666" priority="41"/>
  </conditionalFormatting>
  <conditionalFormatting sqref="C131 C133:C134">
    <cfRule type="duplicateValues" dxfId="1665" priority="30"/>
  </conditionalFormatting>
  <conditionalFormatting sqref="E132">
    <cfRule type="expression" dxfId="1664" priority="16">
      <formula>$G132="卖出"</formula>
    </cfRule>
  </conditionalFormatting>
  <conditionalFormatting sqref="A133">
    <cfRule type="expression" dxfId="1663" priority="15">
      <formula>$G133="卖出"</formula>
    </cfRule>
  </conditionalFormatting>
  <conditionalFormatting sqref="D133">
    <cfRule type="expression" dxfId="1662" priority="14">
      <formula>$G133="卖出"</formula>
    </cfRule>
  </conditionalFormatting>
  <conditionalFormatting sqref="G133">
    <cfRule type="expression" dxfId="1661" priority="13">
      <formula>$G133="卖出"</formula>
    </cfRule>
  </conditionalFormatting>
  <conditionalFormatting sqref="M122">
    <cfRule type="expression" dxfId="1660" priority="12">
      <formula>$G122="卖出"</formula>
    </cfRule>
  </conditionalFormatting>
  <conditionalFormatting sqref="M126">
    <cfRule type="expression" dxfId="1659" priority="11">
      <formula>$G126="卖出"</formula>
    </cfRule>
  </conditionalFormatting>
  <conditionalFormatting sqref="M125">
    <cfRule type="expression" dxfId="1658" priority="10">
      <formula>$G125="卖出"</formula>
    </cfRule>
  </conditionalFormatting>
  <conditionalFormatting sqref="D134">
    <cfRule type="expression" dxfId="1657" priority="9">
      <formula>$G134="卖出"</formula>
    </cfRule>
  </conditionalFormatting>
  <conditionalFormatting sqref="H134">
    <cfRule type="expression" dxfId="1656" priority="8">
      <formula>$G134="卖出"</formula>
    </cfRule>
  </conditionalFormatting>
  <conditionalFormatting sqref="G134">
    <cfRule type="expression" dxfId="1655" priority="7">
      <formula>$G134="卖出"</formula>
    </cfRule>
  </conditionalFormatting>
  <conditionalFormatting sqref="B134">
    <cfRule type="expression" dxfId="1654" priority="6">
      <formula>$G134="卖出"</formula>
    </cfRule>
  </conditionalFormatting>
  <conditionalFormatting sqref="D135:H135 A135:B135">
    <cfRule type="expression" dxfId="1653" priority="5">
      <formula>$G135="卖出"</formula>
    </cfRule>
  </conditionalFormatting>
  <conditionalFormatting sqref="C135">
    <cfRule type="expression" dxfId="1652" priority="4">
      <formula>$E135="卖出"</formula>
    </cfRule>
  </conditionalFormatting>
  <conditionalFormatting sqref="C135">
    <cfRule type="duplicateValues" dxfId="1651" priority="3"/>
  </conditionalFormatting>
  <conditionalFormatting sqref="I135:J135 M135">
    <cfRule type="expression" dxfId="1650" priority="2">
      <formula>$G135="卖出"</formula>
    </cfRule>
  </conditionalFormatting>
  <conditionalFormatting sqref="K135:L135">
    <cfRule type="expression" dxfId="1649" priority="1">
      <formula>$G135="卖出"</formula>
    </cfRule>
  </conditionalFormatting>
  <dataValidations count="3">
    <dataValidation type="list" allowBlank="1" showInputMessage="1" showErrorMessage="1" sqref="D2:D58 D91:D131 D133:D135" xr:uid="{A4498893-1985-4BE8-B8B4-8EA647E06531}">
      <formula1>"全新,拆摆,待定"</formula1>
    </dataValidation>
    <dataValidation type="list" allowBlank="1" showInputMessage="1" showErrorMessage="1" sqref="D59:D90 D132" xr:uid="{960263E6-075D-4AE1-BF20-541C4C67D913}">
      <formula1>"全新,内袋未拆,拆摆,待定"</formula1>
    </dataValidation>
    <dataValidation type="list" allowBlank="1" showInputMessage="1" showErrorMessage="1" sqref="G1:G135" xr:uid="{DD02A089-AD1D-41E4-9916-DCFE0993AC3B}">
      <formula1>"留存,卖出"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FCC1-8313-4947-A7DF-988ECD1CF81D}">
  <dimension ref="A1:O64"/>
  <sheetViews>
    <sheetView topLeftCell="A40" zoomScaleNormal="100" workbookViewId="0">
      <selection activeCell="O7" sqref="O7"/>
    </sheetView>
  </sheetViews>
  <sheetFormatPr defaultRowHeight="14.4"/>
  <cols>
    <col min="1" max="1" width="12" bestFit="1" customWidth="1"/>
    <col min="2" max="2" width="16.33203125" bestFit="1" customWidth="1"/>
    <col min="3" max="3" width="24.5546875" bestFit="1" customWidth="1"/>
    <col min="10" max="10" width="13.33203125" customWidth="1"/>
    <col min="11" max="11" width="13.88671875" customWidth="1"/>
    <col min="12" max="12" width="24.88671875" bestFit="1" customWidth="1"/>
    <col min="14" max="14" width="12" bestFit="1" customWidth="1"/>
  </cols>
  <sheetData>
    <row r="1" spans="1:15" ht="16.2">
      <c r="A1" s="9" t="s">
        <v>12</v>
      </c>
      <c r="B1" s="9" t="s">
        <v>31</v>
      </c>
      <c r="C1" s="9" t="s">
        <v>0</v>
      </c>
      <c r="D1" s="9" t="s">
        <v>7</v>
      </c>
      <c r="E1" s="9" t="s">
        <v>1</v>
      </c>
      <c r="F1" s="9" t="s">
        <v>2</v>
      </c>
      <c r="G1" s="9" t="s">
        <v>283</v>
      </c>
      <c r="H1" s="9" t="s">
        <v>3</v>
      </c>
      <c r="I1" s="9" t="s">
        <v>280</v>
      </c>
      <c r="J1" s="9" t="s">
        <v>267</v>
      </c>
      <c r="K1" s="9" t="s">
        <v>705</v>
      </c>
      <c r="L1" s="9" t="s">
        <v>709</v>
      </c>
    </row>
    <row r="2" spans="1:15" ht="15.6">
      <c r="A2" s="1" t="s">
        <v>564</v>
      </c>
      <c r="B2" s="1" t="s">
        <v>868</v>
      </c>
      <c r="C2" s="6" t="s">
        <v>873</v>
      </c>
      <c r="D2" s="1" t="s">
        <v>8</v>
      </c>
      <c r="E2" s="6">
        <v>498</v>
      </c>
      <c r="F2" s="6" t="s">
        <v>116</v>
      </c>
      <c r="G2" s="6">
        <v>498</v>
      </c>
      <c r="H2" s="6">
        <v>527</v>
      </c>
      <c r="I2" s="6">
        <f t="shared" ref="I2:I8" si="0">H2-G2</f>
        <v>29</v>
      </c>
      <c r="J2" s="12">
        <f t="shared" ref="J2:J8" si="1">I2/G2</f>
        <v>5.8232931726907633E-2</v>
      </c>
      <c r="K2" s="10" t="s">
        <v>706</v>
      </c>
      <c r="L2" s="10"/>
      <c r="N2" s="8" t="s">
        <v>16</v>
      </c>
      <c r="O2" s="8">
        <f>SUM(E:E)</f>
        <v>23689</v>
      </c>
    </row>
    <row r="3" spans="1:15" ht="15.6">
      <c r="A3" s="1" t="s">
        <v>564</v>
      </c>
      <c r="B3" s="1" t="s">
        <v>868</v>
      </c>
      <c r="C3" s="6" t="s">
        <v>874</v>
      </c>
      <c r="D3" s="1" t="s">
        <v>8</v>
      </c>
      <c r="E3" s="6">
        <v>499</v>
      </c>
      <c r="F3" s="6" t="s">
        <v>116</v>
      </c>
      <c r="G3" s="6">
        <v>499</v>
      </c>
      <c r="H3" s="6">
        <v>676</v>
      </c>
      <c r="I3" s="6">
        <f t="shared" si="0"/>
        <v>177</v>
      </c>
      <c r="J3" s="12">
        <f t="shared" si="1"/>
        <v>0.35470941883767537</v>
      </c>
      <c r="K3" s="10" t="s">
        <v>707</v>
      </c>
      <c r="L3" s="10"/>
      <c r="N3" s="8" t="s">
        <v>17</v>
      </c>
      <c r="O3" s="8">
        <f>SUM(H:H)</f>
        <v>31233</v>
      </c>
    </row>
    <row r="4" spans="1:15" ht="15.6">
      <c r="A4" s="1" t="s">
        <v>564</v>
      </c>
      <c r="B4" s="1" t="s">
        <v>868</v>
      </c>
      <c r="C4" s="6" t="s">
        <v>875</v>
      </c>
      <c r="D4" s="1" t="s">
        <v>8</v>
      </c>
      <c r="E4" s="6">
        <v>658</v>
      </c>
      <c r="F4" s="6" t="s">
        <v>116</v>
      </c>
      <c r="G4" s="6">
        <v>658</v>
      </c>
      <c r="H4" s="6">
        <v>894</v>
      </c>
      <c r="I4" s="6">
        <f t="shared" si="0"/>
        <v>236</v>
      </c>
      <c r="J4" s="12">
        <f t="shared" si="1"/>
        <v>0.35866261398176291</v>
      </c>
      <c r="K4" s="10" t="s">
        <v>519</v>
      </c>
      <c r="L4" s="10" t="s">
        <v>710</v>
      </c>
      <c r="N4" s="2" t="s">
        <v>281</v>
      </c>
      <c r="O4" s="8">
        <f>SUM(G:G)</f>
        <v>20505</v>
      </c>
    </row>
    <row r="5" spans="1:15" ht="15.6">
      <c r="A5" s="1" t="s">
        <v>564</v>
      </c>
      <c r="B5" s="1" t="s">
        <v>868</v>
      </c>
      <c r="C5" s="6" t="s">
        <v>950</v>
      </c>
      <c r="D5" s="1" t="s">
        <v>8</v>
      </c>
      <c r="E5" s="6">
        <v>99</v>
      </c>
      <c r="F5" s="6" t="s">
        <v>116</v>
      </c>
      <c r="G5" s="6">
        <v>99</v>
      </c>
      <c r="H5" s="6">
        <v>447</v>
      </c>
      <c r="I5" s="6">
        <f t="shared" si="0"/>
        <v>348</v>
      </c>
      <c r="J5" s="12">
        <f t="shared" si="1"/>
        <v>3.5151515151515151</v>
      </c>
      <c r="K5" s="10" t="s">
        <v>707</v>
      </c>
      <c r="L5" s="10"/>
      <c r="N5" s="8" t="s">
        <v>280</v>
      </c>
      <c r="O5" s="8">
        <f>SUM(I:I)</f>
        <v>10728</v>
      </c>
    </row>
    <row r="6" spans="1:15" ht="15.6">
      <c r="A6" s="1" t="s">
        <v>564</v>
      </c>
      <c r="B6" s="1" t="s">
        <v>868</v>
      </c>
      <c r="C6" s="6" t="s">
        <v>708</v>
      </c>
      <c r="D6" s="1" t="s">
        <v>8</v>
      </c>
      <c r="E6" s="6">
        <v>999</v>
      </c>
      <c r="F6" s="6" t="s">
        <v>116</v>
      </c>
      <c r="G6" s="6">
        <v>999</v>
      </c>
      <c r="H6" s="6">
        <v>1402</v>
      </c>
      <c r="I6" s="6">
        <f t="shared" si="0"/>
        <v>403</v>
      </c>
      <c r="J6" s="12">
        <f t="shared" si="1"/>
        <v>0.40340340340340342</v>
      </c>
      <c r="K6" s="10" t="s">
        <v>707</v>
      </c>
      <c r="L6" s="10"/>
      <c r="N6" s="2" t="s">
        <v>267</v>
      </c>
      <c r="O6" s="13">
        <f>ROUND(O5/O4,4)</f>
        <v>0.5232</v>
      </c>
    </row>
    <row r="7" spans="1:15" ht="15.6">
      <c r="A7" s="1" t="s">
        <v>564</v>
      </c>
      <c r="B7" s="1" t="s">
        <v>868</v>
      </c>
      <c r="C7" s="6" t="s">
        <v>876</v>
      </c>
      <c r="D7" s="1" t="s">
        <v>8</v>
      </c>
      <c r="E7" s="6">
        <v>399</v>
      </c>
      <c r="F7" s="6" t="s">
        <v>116</v>
      </c>
      <c r="G7" s="6">
        <v>399</v>
      </c>
      <c r="H7" s="6">
        <v>466</v>
      </c>
      <c r="I7" s="6">
        <f t="shared" si="0"/>
        <v>67</v>
      </c>
      <c r="J7" s="12">
        <f t="shared" si="1"/>
        <v>0.16791979949874686</v>
      </c>
      <c r="K7" s="10" t="s">
        <v>707</v>
      </c>
      <c r="L7" s="10"/>
      <c r="N7" s="8" t="s">
        <v>18</v>
      </c>
      <c r="O7" s="8">
        <f>O2-O3</f>
        <v>-7544</v>
      </c>
    </row>
    <row r="8" spans="1:15" ht="15.6">
      <c r="A8" s="1" t="s">
        <v>564</v>
      </c>
      <c r="B8" s="1" t="s">
        <v>868</v>
      </c>
      <c r="C8" s="6" t="s">
        <v>932</v>
      </c>
      <c r="D8" s="1" t="s">
        <v>8</v>
      </c>
      <c r="E8" s="6">
        <v>99</v>
      </c>
      <c r="F8" s="6" t="s">
        <v>116</v>
      </c>
      <c r="G8" s="6">
        <v>99</v>
      </c>
      <c r="H8" s="6">
        <v>105</v>
      </c>
      <c r="I8" s="6">
        <f t="shared" si="0"/>
        <v>6</v>
      </c>
      <c r="J8" s="12">
        <f t="shared" si="1"/>
        <v>6.0606060606060608E-2</v>
      </c>
      <c r="K8" s="10" t="s">
        <v>711</v>
      </c>
      <c r="L8" s="10"/>
    </row>
    <row r="9" spans="1:15" ht="15.6">
      <c r="A9" s="1" t="s">
        <v>564</v>
      </c>
      <c r="B9" s="1" t="s">
        <v>868</v>
      </c>
      <c r="C9" s="6" t="s">
        <v>877</v>
      </c>
      <c r="D9" s="1" t="s">
        <v>8</v>
      </c>
      <c r="E9" s="6">
        <v>499</v>
      </c>
      <c r="F9" s="6" t="s">
        <v>319</v>
      </c>
      <c r="G9" s="6"/>
      <c r="H9" s="6"/>
      <c r="I9" s="6"/>
      <c r="J9" s="12"/>
      <c r="K9" s="10" t="s">
        <v>707</v>
      </c>
      <c r="L9" s="10"/>
    </row>
    <row r="10" spans="1:15" ht="15.6">
      <c r="A10" s="1" t="s">
        <v>564</v>
      </c>
      <c r="B10" s="1" t="s">
        <v>868</v>
      </c>
      <c r="C10" s="6" t="s">
        <v>878</v>
      </c>
      <c r="D10" s="1" t="s">
        <v>8</v>
      </c>
      <c r="E10" s="6">
        <v>149</v>
      </c>
      <c r="F10" s="6" t="s">
        <v>319</v>
      </c>
      <c r="G10" s="6"/>
      <c r="H10" s="6"/>
      <c r="I10" s="6"/>
      <c r="J10" s="12"/>
      <c r="K10" s="10" t="s">
        <v>707</v>
      </c>
      <c r="L10" s="10"/>
    </row>
    <row r="11" spans="1:15" ht="15.6">
      <c r="A11" s="1" t="s">
        <v>564</v>
      </c>
      <c r="B11" s="1" t="s">
        <v>868</v>
      </c>
      <c r="C11" s="6" t="s">
        <v>878</v>
      </c>
      <c r="D11" s="1" t="s">
        <v>8</v>
      </c>
      <c r="E11" s="6">
        <v>149</v>
      </c>
      <c r="F11" s="6" t="s">
        <v>319</v>
      </c>
      <c r="G11" s="6"/>
      <c r="H11" s="6"/>
      <c r="I11" s="6"/>
      <c r="J11" s="12"/>
      <c r="K11" s="10" t="s">
        <v>707</v>
      </c>
      <c r="L11" s="10" t="s">
        <v>1002</v>
      </c>
    </row>
    <row r="12" spans="1:15" ht="15.6">
      <c r="A12" s="1" t="s">
        <v>564</v>
      </c>
      <c r="B12" s="1" t="s">
        <v>868</v>
      </c>
      <c r="C12" s="6" t="s">
        <v>734</v>
      </c>
      <c r="D12" s="1" t="s">
        <v>8</v>
      </c>
      <c r="E12" s="6">
        <v>399</v>
      </c>
      <c r="F12" s="6" t="s">
        <v>116</v>
      </c>
      <c r="G12" s="6">
        <v>399</v>
      </c>
      <c r="H12" s="6">
        <v>865</v>
      </c>
      <c r="I12" s="6">
        <f>H12-G12</f>
        <v>466</v>
      </c>
      <c r="J12" s="12">
        <f>I12/G12</f>
        <v>1.1679197994987469</v>
      </c>
      <c r="K12" s="10" t="s">
        <v>707</v>
      </c>
      <c r="L12" s="10"/>
    </row>
    <row r="13" spans="1:15" ht="15.6">
      <c r="A13" s="1" t="s">
        <v>564</v>
      </c>
      <c r="B13" s="1" t="s">
        <v>868</v>
      </c>
      <c r="C13" s="6" t="s">
        <v>919</v>
      </c>
      <c r="D13" s="1" t="s">
        <v>8</v>
      </c>
      <c r="E13" s="6">
        <v>594</v>
      </c>
      <c r="F13" s="6" t="s">
        <v>116</v>
      </c>
      <c r="G13" s="6">
        <v>594</v>
      </c>
      <c r="H13" s="6">
        <v>944</v>
      </c>
      <c r="I13" s="6">
        <f>H13-G13</f>
        <v>350</v>
      </c>
      <c r="J13" s="12">
        <f>I13/G13</f>
        <v>0.58922558922558921</v>
      </c>
      <c r="K13" s="10" t="s">
        <v>707</v>
      </c>
      <c r="L13" s="10" t="s">
        <v>942</v>
      </c>
    </row>
    <row r="14" spans="1:15" ht="15.6">
      <c r="A14" s="1" t="s">
        <v>564</v>
      </c>
      <c r="B14" s="1" t="s">
        <v>868</v>
      </c>
      <c r="C14" s="6" t="s">
        <v>932</v>
      </c>
      <c r="D14" s="1" t="s">
        <v>8</v>
      </c>
      <c r="E14" s="6">
        <v>594</v>
      </c>
      <c r="F14" s="6" t="s">
        <v>116</v>
      </c>
      <c r="G14" s="6">
        <v>594</v>
      </c>
      <c r="H14" s="6">
        <v>646</v>
      </c>
      <c r="I14" s="6">
        <f>H14-G14</f>
        <v>52</v>
      </c>
      <c r="J14" s="12">
        <f>I14/G14</f>
        <v>8.7542087542087546E-2</v>
      </c>
      <c r="K14" s="10" t="s">
        <v>707</v>
      </c>
      <c r="L14" s="10" t="s">
        <v>933</v>
      </c>
    </row>
    <row r="15" spans="1:15" ht="15.6">
      <c r="A15" s="1" t="s">
        <v>564</v>
      </c>
      <c r="B15" s="1" t="s">
        <v>868</v>
      </c>
      <c r="C15" s="6" t="s">
        <v>874</v>
      </c>
      <c r="D15" s="1" t="s">
        <v>8</v>
      </c>
      <c r="E15" s="6">
        <v>499</v>
      </c>
      <c r="F15" s="6" t="s">
        <v>116</v>
      </c>
      <c r="G15" s="6"/>
      <c r="H15" s="6"/>
      <c r="I15" s="6"/>
      <c r="J15" s="12"/>
      <c r="K15" s="10" t="s">
        <v>707</v>
      </c>
      <c r="L15" s="10" t="s">
        <v>1077</v>
      </c>
    </row>
    <row r="16" spans="1:15" ht="15.6">
      <c r="A16" s="1" t="s">
        <v>564</v>
      </c>
      <c r="B16" s="1" t="s">
        <v>868</v>
      </c>
      <c r="C16" s="6" t="s">
        <v>734</v>
      </c>
      <c r="D16" s="1" t="s">
        <v>8</v>
      </c>
      <c r="E16" s="6">
        <v>399</v>
      </c>
      <c r="F16" s="6" t="s">
        <v>319</v>
      </c>
      <c r="G16" s="6"/>
      <c r="H16" s="6"/>
      <c r="I16" s="6"/>
      <c r="J16" s="12"/>
      <c r="K16" s="10" t="s">
        <v>707</v>
      </c>
      <c r="L16" s="10" t="s">
        <v>779</v>
      </c>
    </row>
    <row r="17" spans="1:12" ht="15.6">
      <c r="A17" s="1" t="s">
        <v>564</v>
      </c>
      <c r="B17" s="1" t="s">
        <v>869</v>
      </c>
      <c r="C17" s="6" t="s">
        <v>783</v>
      </c>
      <c r="D17" s="1" t="s">
        <v>8</v>
      </c>
      <c r="E17" s="6">
        <v>474</v>
      </c>
      <c r="F17" s="6" t="s">
        <v>116</v>
      </c>
      <c r="G17" s="6">
        <v>474</v>
      </c>
      <c r="H17" s="6">
        <v>656</v>
      </c>
      <c r="I17" s="6">
        <f>H17-G17</f>
        <v>182</v>
      </c>
      <c r="J17" s="12">
        <f>I17/G17</f>
        <v>0.38396624472573837</v>
      </c>
      <c r="K17" s="10" t="s">
        <v>519</v>
      </c>
      <c r="L17" s="10" t="s">
        <v>710</v>
      </c>
    </row>
    <row r="18" spans="1:12" ht="15.6">
      <c r="A18" s="1" t="s">
        <v>564</v>
      </c>
      <c r="B18" s="1" t="s">
        <v>869</v>
      </c>
      <c r="C18" s="6" t="s">
        <v>783</v>
      </c>
      <c r="D18" s="1" t="s">
        <v>8</v>
      </c>
      <c r="E18" s="6">
        <v>474</v>
      </c>
      <c r="F18" s="6" t="s">
        <v>116</v>
      </c>
      <c r="G18" s="6">
        <v>474</v>
      </c>
      <c r="H18" s="6">
        <v>695</v>
      </c>
      <c r="I18" s="6">
        <f>H18-G18</f>
        <v>221</v>
      </c>
      <c r="J18" s="12">
        <f>I18/G18</f>
        <v>0.46624472573839665</v>
      </c>
      <c r="K18" s="10" t="s">
        <v>519</v>
      </c>
      <c r="L18" s="10"/>
    </row>
    <row r="19" spans="1:12" ht="15.6">
      <c r="A19" s="1" t="s">
        <v>564</v>
      </c>
      <c r="B19" s="1" t="s">
        <v>868</v>
      </c>
      <c r="C19" s="6" t="s">
        <v>932</v>
      </c>
      <c r="D19" s="1" t="s">
        <v>8</v>
      </c>
      <c r="E19" s="6">
        <v>594</v>
      </c>
      <c r="F19" s="6" t="s">
        <v>116</v>
      </c>
      <c r="G19" s="6">
        <v>592</v>
      </c>
      <c r="H19" s="6">
        <v>899</v>
      </c>
      <c r="I19" s="6">
        <f>H19-G19</f>
        <v>307</v>
      </c>
      <c r="J19" s="12">
        <f>I19/G19</f>
        <v>0.51858108108108103</v>
      </c>
      <c r="K19" s="10" t="s">
        <v>707</v>
      </c>
      <c r="L19" s="10" t="s">
        <v>933</v>
      </c>
    </row>
    <row r="20" spans="1:12" ht="15.6">
      <c r="A20" s="1" t="s">
        <v>564</v>
      </c>
      <c r="B20" s="1" t="s">
        <v>868</v>
      </c>
      <c r="C20" s="6" t="s">
        <v>934</v>
      </c>
      <c r="D20" s="1" t="s">
        <v>8</v>
      </c>
      <c r="E20" s="6">
        <v>592</v>
      </c>
      <c r="F20" s="6" t="s">
        <v>116</v>
      </c>
      <c r="G20" s="6">
        <v>592</v>
      </c>
      <c r="H20" s="6">
        <v>1491</v>
      </c>
      <c r="I20" s="6">
        <f>H20-G20</f>
        <v>899</v>
      </c>
      <c r="J20" s="12">
        <f>I20/G20</f>
        <v>1.5185810810810811</v>
      </c>
      <c r="K20" s="10" t="s">
        <v>707</v>
      </c>
      <c r="L20" s="10" t="s">
        <v>933</v>
      </c>
    </row>
    <row r="21" spans="1:12" ht="15.6">
      <c r="A21" s="1" t="s">
        <v>564</v>
      </c>
      <c r="B21" s="1" t="s">
        <v>868</v>
      </c>
      <c r="C21" s="6" t="s">
        <v>879</v>
      </c>
      <c r="D21" s="1" t="s">
        <v>8</v>
      </c>
      <c r="E21" s="6"/>
      <c r="F21" s="6" t="s">
        <v>319</v>
      </c>
      <c r="G21" s="6"/>
      <c r="H21" s="6"/>
      <c r="I21" s="6"/>
      <c r="J21" s="12"/>
      <c r="K21" s="10" t="s">
        <v>707</v>
      </c>
      <c r="L21" s="10" t="s">
        <v>999</v>
      </c>
    </row>
    <row r="22" spans="1:12" ht="15.6">
      <c r="A22" s="1" t="s">
        <v>564</v>
      </c>
      <c r="B22" s="1" t="s">
        <v>868</v>
      </c>
      <c r="C22" s="6" t="s">
        <v>879</v>
      </c>
      <c r="D22" s="1" t="s">
        <v>8</v>
      </c>
      <c r="E22" s="6"/>
      <c r="F22" s="6" t="s">
        <v>319</v>
      </c>
      <c r="G22" s="6"/>
      <c r="H22" s="6"/>
      <c r="I22" s="6"/>
      <c r="J22" s="12"/>
      <c r="K22" s="10" t="s">
        <v>707</v>
      </c>
      <c r="L22" s="10" t="s">
        <v>834</v>
      </c>
    </row>
    <row r="23" spans="1:12" ht="15.6">
      <c r="A23" s="1" t="s">
        <v>564</v>
      </c>
      <c r="B23" s="1" t="s">
        <v>868</v>
      </c>
      <c r="C23" s="6" t="s">
        <v>919</v>
      </c>
      <c r="D23" s="1" t="s">
        <v>343</v>
      </c>
      <c r="E23" s="6">
        <v>594</v>
      </c>
      <c r="F23" s="6" t="s">
        <v>116</v>
      </c>
      <c r="G23" s="6">
        <v>594</v>
      </c>
      <c r="H23" s="6">
        <v>1243</v>
      </c>
      <c r="I23" s="6">
        <f t="shared" ref="I23:I33" si="2">H23-G23</f>
        <v>649</v>
      </c>
      <c r="J23" s="12">
        <f t="shared" ref="J23:J33" si="3">I23/G23</f>
        <v>1.0925925925925926</v>
      </c>
      <c r="K23" s="10" t="s">
        <v>707</v>
      </c>
      <c r="L23" s="10" t="s">
        <v>946</v>
      </c>
    </row>
    <row r="24" spans="1:12" ht="15.6">
      <c r="A24" s="1" t="s">
        <v>564</v>
      </c>
      <c r="B24" s="1" t="s">
        <v>868</v>
      </c>
      <c r="C24" s="6" t="s">
        <v>919</v>
      </c>
      <c r="D24" s="1" t="s">
        <v>8</v>
      </c>
      <c r="E24" s="6">
        <v>594</v>
      </c>
      <c r="F24" s="6" t="s">
        <v>116</v>
      </c>
      <c r="G24" s="6">
        <v>594</v>
      </c>
      <c r="H24" s="6">
        <v>850</v>
      </c>
      <c r="I24" s="6">
        <f t="shared" si="2"/>
        <v>256</v>
      </c>
      <c r="J24" s="12">
        <f t="shared" si="3"/>
        <v>0.43097643097643096</v>
      </c>
      <c r="K24" s="10" t="s">
        <v>707</v>
      </c>
      <c r="L24" s="10" t="s">
        <v>947</v>
      </c>
    </row>
    <row r="25" spans="1:12" ht="15.6">
      <c r="A25" s="1" t="s">
        <v>564</v>
      </c>
      <c r="B25" s="1" t="s">
        <v>868</v>
      </c>
      <c r="C25" s="6" t="s">
        <v>880</v>
      </c>
      <c r="D25" s="1" t="s">
        <v>8</v>
      </c>
      <c r="E25" s="6">
        <v>159</v>
      </c>
      <c r="F25" s="6" t="s">
        <v>116</v>
      </c>
      <c r="G25" s="6">
        <v>159</v>
      </c>
      <c r="H25" s="6">
        <v>180</v>
      </c>
      <c r="I25" s="6">
        <f t="shared" si="2"/>
        <v>21</v>
      </c>
      <c r="J25" s="12">
        <f t="shared" si="3"/>
        <v>0.13207547169811321</v>
      </c>
      <c r="K25" s="10" t="s">
        <v>707</v>
      </c>
      <c r="L25" s="10"/>
    </row>
    <row r="26" spans="1:12" ht="15.6">
      <c r="A26" s="1" t="s">
        <v>564</v>
      </c>
      <c r="B26" s="1" t="s">
        <v>868</v>
      </c>
      <c r="C26" s="6" t="s">
        <v>919</v>
      </c>
      <c r="D26" s="1" t="s">
        <v>343</v>
      </c>
      <c r="E26" s="6">
        <v>594</v>
      </c>
      <c r="F26" s="6" t="s">
        <v>116</v>
      </c>
      <c r="G26" s="6">
        <v>594</v>
      </c>
      <c r="H26" s="6">
        <v>1143</v>
      </c>
      <c r="I26" s="6">
        <f t="shared" si="2"/>
        <v>549</v>
      </c>
      <c r="J26" s="12">
        <f t="shared" si="3"/>
        <v>0.9242424242424242</v>
      </c>
      <c r="K26" s="10" t="s">
        <v>519</v>
      </c>
      <c r="L26" s="10" t="s">
        <v>942</v>
      </c>
    </row>
    <row r="27" spans="1:12" ht="15.6">
      <c r="A27" s="1" t="s">
        <v>564</v>
      </c>
      <c r="B27" s="1" t="s">
        <v>868</v>
      </c>
      <c r="C27" s="6" t="s">
        <v>919</v>
      </c>
      <c r="D27" s="1" t="s">
        <v>8</v>
      </c>
      <c r="E27" s="6">
        <v>594</v>
      </c>
      <c r="F27" s="6" t="s">
        <v>116</v>
      </c>
      <c r="G27" s="6">
        <v>594</v>
      </c>
      <c r="H27" s="6">
        <v>1143</v>
      </c>
      <c r="I27" s="6">
        <f t="shared" si="2"/>
        <v>549</v>
      </c>
      <c r="J27" s="12">
        <f t="shared" si="3"/>
        <v>0.9242424242424242</v>
      </c>
      <c r="K27" s="10" t="s">
        <v>519</v>
      </c>
      <c r="L27" s="10" t="s">
        <v>942</v>
      </c>
    </row>
    <row r="28" spans="1:12" ht="15.6">
      <c r="A28" s="1" t="s">
        <v>564</v>
      </c>
      <c r="B28" s="1" t="s">
        <v>868</v>
      </c>
      <c r="C28" s="6" t="s">
        <v>944</v>
      </c>
      <c r="D28" s="1" t="s">
        <v>8</v>
      </c>
      <c r="E28" s="6">
        <v>69</v>
      </c>
      <c r="F28" s="6" t="s">
        <v>116</v>
      </c>
      <c r="G28" s="6">
        <v>69</v>
      </c>
      <c r="H28" s="6">
        <v>107</v>
      </c>
      <c r="I28" s="6">
        <f t="shared" si="2"/>
        <v>38</v>
      </c>
      <c r="J28" s="12">
        <f t="shared" si="3"/>
        <v>0.55072463768115942</v>
      </c>
      <c r="K28" s="10" t="s">
        <v>856</v>
      </c>
      <c r="L28" s="10" t="s">
        <v>945</v>
      </c>
    </row>
    <row r="29" spans="1:12" ht="15.6">
      <c r="A29" s="1" t="s">
        <v>564</v>
      </c>
      <c r="B29" s="1" t="s">
        <v>868</v>
      </c>
      <c r="C29" s="6" t="s">
        <v>944</v>
      </c>
      <c r="D29" s="1" t="s">
        <v>8</v>
      </c>
      <c r="E29" s="6">
        <v>69</v>
      </c>
      <c r="F29" s="6" t="s">
        <v>116</v>
      </c>
      <c r="G29" s="6">
        <v>69</v>
      </c>
      <c r="H29" s="6">
        <v>70</v>
      </c>
      <c r="I29" s="6">
        <f t="shared" si="2"/>
        <v>1</v>
      </c>
      <c r="J29" s="12">
        <f t="shared" si="3"/>
        <v>1.4492753623188406E-2</v>
      </c>
      <c r="K29" s="10" t="s">
        <v>856</v>
      </c>
      <c r="L29" s="10" t="s">
        <v>948</v>
      </c>
    </row>
    <row r="30" spans="1:12" ht="15.6">
      <c r="A30" s="1" t="s">
        <v>564</v>
      </c>
      <c r="B30" s="1" t="s">
        <v>870</v>
      </c>
      <c r="C30" s="6" t="s">
        <v>881</v>
      </c>
      <c r="D30" s="1" t="s">
        <v>8</v>
      </c>
      <c r="E30" s="6">
        <v>1161</v>
      </c>
      <c r="F30" s="6" t="s">
        <v>116</v>
      </c>
      <c r="G30" s="6">
        <v>1161</v>
      </c>
      <c r="H30" s="6">
        <v>1223</v>
      </c>
      <c r="I30" s="6">
        <f t="shared" si="2"/>
        <v>62</v>
      </c>
      <c r="J30" s="12">
        <f t="shared" si="3"/>
        <v>5.3402239448751075E-2</v>
      </c>
      <c r="K30" s="10" t="s">
        <v>519</v>
      </c>
      <c r="L30" s="10"/>
    </row>
    <row r="31" spans="1:12" ht="15.6">
      <c r="A31" s="1" t="s">
        <v>564</v>
      </c>
      <c r="B31" s="1" t="s">
        <v>868</v>
      </c>
      <c r="C31" s="6" t="s">
        <v>919</v>
      </c>
      <c r="D31" s="1" t="s">
        <v>343</v>
      </c>
      <c r="E31" s="6">
        <v>594</v>
      </c>
      <c r="F31" s="6" t="s">
        <v>116</v>
      </c>
      <c r="G31" s="6">
        <v>594</v>
      </c>
      <c r="H31" s="6">
        <v>875</v>
      </c>
      <c r="I31" s="6">
        <f t="shared" si="2"/>
        <v>281</v>
      </c>
      <c r="J31" s="12">
        <f t="shared" si="3"/>
        <v>0.47306397306397308</v>
      </c>
      <c r="K31" s="10" t="s">
        <v>707</v>
      </c>
      <c r="L31" s="10" t="s">
        <v>949</v>
      </c>
    </row>
    <row r="32" spans="1:12" ht="15.6">
      <c r="A32" s="1" t="s">
        <v>564</v>
      </c>
      <c r="B32" s="1" t="s">
        <v>868</v>
      </c>
      <c r="C32" s="6" t="s">
        <v>919</v>
      </c>
      <c r="D32" s="1" t="s">
        <v>8</v>
      </c>
      <c r="E32" s="6">
        <v>594</v>
      </c>
      <c r="F32" s="6" t="s">
        <v>116</v>
      </c>
      <c r="G32" s="6">
        <v>594</v>
      </c>
      <c r="H32" s="6">
        <v>594</v>
      </c>
      <c r="I32" s="6">
        <f t="shared" si="2"/>
        <v>0</v>
      </c>
      <c r="J32" s="12">
        <f t="shared" si="3"/>
        <v>0</v>
      </c>
      <c r="K32" s="10" t="s">
        <v>707</v>
      </c>
      <c r="L32" s="10" t="s">
        <v>860</v>
      </c>
    </row>
    <row r="33" spans="1:12" ht="15.6">
      <c r="A33" s="1" t="s">
        <v>564</v>
      </c>
      <c r="B33" s="1" t="s">
        <v>868</v>
      </c>
      <c r="C33" s="6" t="s">
        <v>934</v>
      </c>
      <c r="D33" s="1" t="s">
        <v>8</v>
      </c>
      <c r="E33" s="6">
        <v>592</v>
      </c>
      <c r="F33" s="6" t="s">
        <v>116</v>
      </c>
      <c r="G33" s="6">
        <v>594</v>
      </c>
      <c r="H33" s="6">
        <v>1500</v>
      </c>
      <c r="I33" s="6">
        <f t="shared" si="2"/>
        <v>906</v>
      </c>
      <c r="J33" s="12">
        <f t="shared" si="3"/>
        <v>1.5252525252525253</v>
      </c>
      <c r="K33" s="10" t="s">
        <v>707</v>
      </c>
      <c r="L33" s="10" t="s">
        <v>942</v>
      </c>
    </row>
    <row r="34" spans="1:12" ht="15.6">
      <c r="A34" s="1" t="s">
        <v>564</v>
      </c>
      <c r="B34" s="1" t="s">
        <v>868</v>
      </c>
      <c r="C34" s="6" t="s">
        <v>919</v>
      </c>
      <c r="D34" s="1" t="s">
        <v>8</v>
      </c>
      <c r="E34" s="6">
        <v>99</v>
      </c>
      <c r="F34" s="6" t="s">
        <v>319</v>
      </c>
      <c r="G34" s="6"/>
      <c r="H34" s="6"/>
      <c r="I34" s="6"/>
      <c r="J34" s="12"/>
      <c r="K34" s="10" t="s">
        <v>856</v>
      </c>
      <c r="L34" s="10" t="s">
        <v>936</v>
      </c>
    </row>
    <row r="35" spans="1:12" ht="15.6">
      <c r="A35" s="1" t="s">
        <v>564</v>
      </c>
      <c r="B35" s="1" t="s">
        <v>868</v>
      </c>
      <c r="C35" s="6" t="s">
        <v>919</v>
      </c>
      <c r="D35" s="1" t="s">
        <v>8</v>
      </c>
      <c r="E35" s="6">
        <v>99</v>
      </c>
      <c r="F35" s="6" t="s">
        <v>116</v>
      </c>
      <c r="G35" s="6">
        <v>99</v>
      </c>
      <c r="H35" s="6">
        <v>134</v>
      </c>
      <c r="I35" s="6">
        <f>H35-G35</f>
        <v>35</v>
      </c>
      <c r="J35" s="12">
        <f>I35/G35</f>
        <v>0.35353535353535354</v>
      </c>
      <c r="K35" s="10" t="s">
        <v>856</v>
      </c>
      <c r="L35" s="10" t="s">
        <v>935</v>
      </c>
    </row>
    <row r="36" spans="1:12" ht="15.6">
      <c r="A36" s="1" t="s">
        <v>564</v>
      </c>
      <c r="B36" s="1" t="s">
        <v>871</v>
      </c>
      <c r="C36" s="6" t="s">
        <v>943</v>
      </c>
      <c r="D36" s="1" t="s">
        <v>8</v>
      </c>
      <c r="E36" s="6">
        <v>396</v>
      </c>
      <c r="F36" s="6" t="s">
        <v>116</v>
      </c>
      <c r="G36" s="6">
        <v>396</v>
      </c>
      <c r="H36" s="6">
        <v>359</v>
      </c>
      <c r="I36" s="6">
        <f>H36-G36</f>
        <v>-37</v>
      </c>
      <c r="J36" s="12">
        <f>I36/G36</f>
        <v>-9.3434343434343439E-2</v>
      </c>
      <c r="K36" s="10" t="s">
        <v>856</v>
      </c>
      <c r="L36" s="10" t="s">
        <v>866</v>
      </c>
    </row>
    <row r="37" spans="1:12" ht="15.6">
      <c r="A37" s="1" t="s">
        <v>564</v>
      </c>
      <c r="B37" s="1" t="s">
        <v>871</v>
      </c>
      <c r="C37" s="6" t="s">
        <v>882</v>
      </c>
      <c r="D37" s="1" t="s">
        <v>8</v>
      </c>
      <c r="E37" s="6">
        <v>99</v>
      </c>
      <c r="F37" s="6" t="s">
        <v>319</v>
      </c>
      <c r="G37" s="6"/>
      <c r="H37" s="6"/>
      <c r="I37" s="6"/>
      <c r="J37" s="12"/>
      <c r="K37" s="10" t="s">
        <v>856</v>
      </c>
      <c r="L37" s="10"/>
    </row>
    <row r="38" spans="1:12" ht="15.6">
      <c r="A38" s="1" t="s">
        <v>564</v>
      </c>
      <c r="B38" s="1" t="s">
        <v>871</v>
      </c>
      <c r="C38" s="6" t="s">
        <v>883</v>
      </c>
      <c r="D38" s="1" t="s">
        <v>8</v>
      </c>
      <c r="E38" s="6">
        <v>99</v>
      </c>
      <c r="F38" s="6" t="s">
        <v>319</v>
      </c>
      <c r="G38" s="6"/>
      <c r="H38" s="6"/>
      <c r="I38" s="6"/>
      <c r="J38" s="12"/>
      <c r="K38" s="10" t="s">
        <v>856</v>
      </c>
      <c r="L38" s="10"/>
    </row>
    <row r="39" spans="1:12" ht="15.6">
      <c r="A39" s="1" t="s">
        <v>564</v>
      </c>
      <c r="B39" s="1" t="s">
        <v>871</v>
      </c>
      <c r="C39" s="6" t="s">
        <v>884</v>
      </c>
      <c r="D39" s="1" t="s">
        <v>8</v>
      </c>
      <c r="E39" s="6">
        <v>198</v>
      </c>
      <c r="F39" s="6" t="s">
        <v>116</v>
      </c>
      <c r="G39" s="6">
        <v>198</v>
      </c>
      <c r="H39" s="6">
        <v>197</v>
      </c>
      <c r="I39" s="6">
        <f>H39-G39</f>
        <v>-1</v>
      </c>
      <c r="J39" s="12">
        <f>I39/G39</f>
        <v>-5.0505050505050509E-3</v>
      </c>
      <c r="K39" s="10" t="s">
        <v>856</v>
      </c>
      <c r="L39" s="10" t="s">
        <v>867</v>
      </c>
    </row>
    <row r="40" spans="1:12" ht="15.6">
      <c r="A40" s="1" t="s">
        <v>564</v>
      </c>
      <c r="B40" s="1" t="s">
        <v>871</v>
      </c>
      <c r="C40" s="6" t="s">
        <v>885</v>
      </c>
      <c r="D40" s="1" t="s">
        <v>8</v>
      </c>
      <c r="E40" s="6">
        <v>99</v>
      </c>
      <c r="F40" s="6" t="s">
        <v>116</v>
      </c>
      <c r="G40" s="6">
        <v>99</v>
      </c>
      <c r="H40" s="6">
        <v>80</v>
      </c>
      <c r="I40" s="6">
        <f>H40-G40</f>
        <v>-19</v>
      </c>
      <c r="J40" s="12">
        <f>I40/G40</f>
        <v>-0.19191919191919191</v>
      </c>
      <c r="K40" s="10" t="s">
        <v>856</v>
      </c>
      <c r="L40" s="10"/>
    </row>
    <row r="41" spans="1:12" ht="15.6">
      <c r="A41" s="1" t="s">
        <v>564</v>
      </c>
      <c r="B41" s="1" t="s">
        <v>871</v>
      </c>
      <c r="C41" s="6" t="s">
        <v>886</v>
      </c>
      <c r="D41" s="1" t="s">
        <v>8</v>
      </c>
      <c r="E41" s="6">
        <v>99</v>
      </c>
      <c r="F41" s="6" t="s">
        <v>319</v>
      </c>
      <c r="G41" s="6"/>
      <c r="H41" s="6"/>
      <c r="I41" s="6"/>
      <c r="J41" s="12"/>
      <c r="K41" s="10" t="s">
        <v>856</v>
      </c>
      <c r="L41" s="10"/>
    </row>
    <row r="42" spans="1:12" ht="15.6">
      <c r="A42" s="1" t="s">
        <v>564</v>
      </c>
      <c r="B42" s="1" t="s">
        <v>868</v>
      </c>
      <c r="C42" s="6" t="s">
        <v>919</v>
      </c>
      <c r="D42" s="1" t="s">
        <v>8</v>
      </c>
      <c r="E42" s="6">
        <v>99</v>
      </c>
      <c r="F42" s="6" t="s">
        <v>116</v>
      </c>
      <c r="G42" s="6">
        <v>99</v>
      </c>
      <c r="H42" s="6">
        <v>100</v>
      </c>
      <c r="I42" s="6">
        <f>H42-G42</f>
        <v>1</v>
      </c>
      <c r="J42" s="12">
        <f>I42/G42</f>
        <v>1.0101010101010102E-2</v>
      </c>
      <c r="K42" s="10" t="s">
        <v>856</v>
      </c>
      <c r="L42" s="10" t="s">
        <v>937</v>
      </c>
    </row>
    <row r="43" spans="1:12" ht="15.6">
      <c r="A43" s="1" t="s">
        <v>564</v>
      </c>
      <c r="B43" s="1" t="s">
        <v>868</v>
      </c>
      <c r="C43" s="6" t="s">
        <v>919</v>
      </c>
      <c r="D43" s="1" t="s">
        <v>8</v>
      </c>
      <c r="E43" s="6">
        <v>99</v>
      </c>
      <c r="F43" s="6" t="s">
        <v>116</v>
      </c>
      <c r="G43" s="6">
        <v>99</v>
      </c>
      <c r="H43" s="6">
        <v>104</v>
      </c>
      <c r="I43" s="6">
        <f>H43-G43</f>
        <v>5</v>
      </c>
      <c r="J43" s="12">
        <f>I43/G43</f>
        <v>5.0505050505050504E-2</v>
      </c>
      <c r="K43" s="10" t="s">
        <v>856</v>
      </c>
      <c r="L43" s="10" t="s">
        <v>936</v>
      </c>
    </row>
    <row r="44" spans="1:12" ht="15.6">
      <c r="A44" s="1" t="s">
        <v>564</v>
      </c>
      <c r="B44" s="1" t="s">
        <v>868</v>
      </c>
      <c r="C44" s="6" t="s">
        <v>919</v>
      </c>
      <c r="D44" s="1" t="s">
        <v>8</v>
      </c>
      <c r="E44" s="6">
        <v>198</v>
      </c>
      <c r="F44" s="6" t="s">
        <v>116</v>
      </c>
      <c r="G44" s="6">
        <v>198</v>
      </c>
      <c r="H44" s="6">
        <v>214</v>
      </c>
      <c r="I44" s="6">
        <f>H44-G44</f>
        <v>16</v>
      </c>
      <c r="J44" s="12">
        <f>I44/G44</f>
        <v>8.0808080808080815E-2</v>
      </c>
      <c r="K44" s="10" t="s">
        <v>856</v>
      </c>
      <c r="L44" s="10" t="s">
        <v>938</v>
      </c>
    </row>
    <row r="45" spans="1:12" ht="15.6">
      <c r="A45" s="1" t="s">
        <v>564</v>
      </c>
      <c r="B45" s="1" t="s">
        <v>868</v>
      </c>
      <c r="C45" s="6" t="s">
        <v>919</v>
      </c>
      <c r="D45" s="1" t="s">
        <v>8</v>
      </c>
      <c r="E45" s="6">
        <v>99</v>
      </c>
      <c r="F45" s="6" t="s">
        <v>319</v>
      </c>
      <c r="G45" s="6"/>
      <c r="H45" s="6"/>
      <c r="I45" s="6"/>
      <c r="J45" s="12"/>
      <c r="K45" s="10" t="s">
        <v>856</v>
      </c>
      <c r="L45" s="10" t="s">
        <v>939</v>
      </c>
    </row>
    <row r="46" spans="1:12" ht="15.6">
      <c r="A46" s="1" t="s">
        <v>564</v>
      </c>
      <c r="B46" s="1" t="s">
        <v>868</v>
      </c>
      <c r="C46" s="6" t="s">
        <v>919</v>
      </c>
      <c r="D46" s="1" t="s">
        <v>8</v>
      </c>
      <c r="E46" s="6">
        <v>99</v>
      </c>
      <c r="F46" s="6" t="s">
        <v>116</v>
      </c>
      <c r="G46" s="6">
        <v>99</v>
      </c>
      <c r="H46" s="6">
        <v>90</v>
      </c>
      <c r="I46" s="6">
        <f>H46-G46</f>
        <v>-9</v>
      </c>
      <c r="J46" s="12">
        <f>I46/G46</f>
        <v>-9.0909090909090912E-2</v>
      </c>
      <c r="K46" s="10" t="s">
        <v>856</v>
      </c>
      <c r="L46" s="10" t="s">
        <v>935</v>
      </c>
    </row>
    <row r="47" spans="1:12" ht="15.6">
      <c r="A47" s="1" t="s">
        <v>564</v>
      </c>
      <c r="B47" s="1" t="s">
        <v>872</v>
      </c>
      <c r="C47" s="6" t="s">
        <v>941</v>
      </c>
      <c r="D47" s="1" t="s">
        <v>8</v>
      </c>
      <c r="E47" s="6">
        <v>79</v>
      </c>
      <c r="F47" s="6" t="s">
        <v>319</v>
      </c>
      <c r="G47" s="6"/>
      <c r="H47" s="6"/>
      <c r="I47" s="6"/>
      <c r="J47" s="12"/>
      <c r="K47" s="10" t="s">
        <v>856</v>
      </c>
      <c r="L47" s="10" t="s">
        <v>940</v>
      </c>
    </row>
    <row r="48" spans="1:12" ht="15.6">
      <c r="A48" s="1" t="s">
        <v>564</v>
      </c>
      <c r="B48" s="1" t="s">
        <v>868</v>
      </c>
      <c r="C48" s="6" t="s">
        <v>880</v>
      </c>
      <c r="D48" s="1" t="s">
        <v>8</v>
      </c>
      <c r="E48" s="6">
        <v>159</v>
      </c>
      <c r="F48" s="6" t="s">
        <v>116</v>
      </c>
      <c r="G48" s="6">
        <v>159</v>
      </c>
      <c r="H48" s="6">
        <v>180</v>
      </c>
      <c r="I48" s="6">
        <f>H48-G48</f>
        <v>21</v>
      </c>
      <c r="J48" s="12">
        <f>I48/G48</f>
        <v>0.13207547169811321</v>
      </c>
      <c r="K48" s="10" t="s">
        <v>519</v>
      </c>
      <c r="L48" s="10"/>
    </row>
    <row r="49" spans="1:12" ht="15.6">
      <c r="A49" s="1" t="s">
        <v>564</v>
      </c>
      <c r="B49" s="1" t="s">
        <v>868</v>
      </c>
      <c r="C49" s="6" t="s">
        <v>880</v>
      </c>
      <c r="D49" s="1" t="s">
        <v>8</v>
      </c>
      <c r="E49" s="6">
        <v>159</v>
      </c>
      <c r="F49" s="6" t="s">
        <v>116</v>
      </c>
      <c r="G49" s="6">
        <v>159</v>
      </c>
      <c r="H49" s="6">
        <v>179</v>
      </c>
      <c r="I49" s="6">
        <f>H49-G49</f>
        <v>20</v>
      </c>
      <c r="J49" s="12">
        <f>I49/G49</f>
        <v>0.12578616352201258</v>
      </c>
      <c r="K49" s="10" t="s">
        <v>519</v>
      </c>
      <c r="L49" s="10" t="s">
        <v>960</v>
      </c>
    </row>
    <row r="50" spans="1:12" ht="15.6">
      <c r="A50" s="1" t="s">
        <v>564</v>
      </c>
      <c r="B50" s="1" t="s">
        <v>868</v>
      </c>
      <c r="C50" s="6" t="s">
        <v>880</v>
      </c>
      <c r="D50" s="1" t="s">
        <v>8</v>
      </c>
      <c r="E50" s="6">
        <v>159</v>
      </c>
      <c r="F50" s="6" t="s">
        <v>319</v>
      </c>
      <c r="G50" s="6"/>
      <c r="H50" s="6"/>
      <c r="I50" s="6"/>
      <c r="J50" s="12"/>
      <c r="K50" s="10" t="s">
        <v>519</v>
      </c>
      <c r="L50" s="10" t="s">
        <v>960</v>
      </c>
    </row>
    <row r="51" spans="1:12" ht="15.6">
      <c r="A51" s="1" t="s">
        <v>564</v>
      </c>
      <c r="B51" s="1" t="s">
        <v>868</v>
      </c>
      <c r="C51" s="6" t="s">
        <v>919</v>
      </c>
      <c r="D51" s="1" t="s">
        <v>8</v>
      </c>
      <c r="E51" s="6">
        <v>99</v>
      </c>
      <c r="F51" s="6" t="s">
        <v>319</v>
      </c>
      <c r="G51" s="6"/>
      <c r="H51" s="6"/>
      <c r="I51" s="6"/>
      <c r="J51" s="12"/>
      <c r="K51" s="10" t="s">
        <v>519</v>
      </c>
      <c r="L51" s="10" t="s">
        <v>998</v>
      </c>
    </row>
    <row r="52" spans="1:12" ht="15.6">
      <c r="A52" s="1" t="s">
        <v>564</v>
      </c>
      <c r="B52" s="1" t="s">
        <v>868</v>
      </c>
      <c r="C52" s="6" t="s">
        <v>874</v>
      </c>
      <c r="D52" s="1" t="s">
        <v>8</v>
      </c>
      <c r="E52" s="6">
        <v>499</v>
      </c>
      <c r="F52" s="6" t="s">
        <v>319</v>
      </c>
      <c r="G52" s="6"/>
      <c r="K52" s="10" t="s">
        <v>519</v>
      </c>
      <c r="L52" s="10"/>
    </row>
    <row r="53" spans="1:12" ht="15.6">
      <c r="A53" s="1" t="s">
        <v>564</v>
      </c>
      <c r="B53" s="1" t="s">
        <v>868</v>
      </c>
      <c r="C53" s="6" t="s">
        <v>930</v>
      </c>
      <c r="D53" s="1" t="s">
        <v>8</v>
      </c>
      <c r="E53" s="6">
        <v>199</v>
      </c>
      <c r="F53" s="6" t="s">
        <v>116</v>
      </c>
      <c r="G53" s="6">
        <v>199</v>
      </c>
      <c r="H53" s="6">
        <v>994</v>
      </c>
      <c r="I53" s="6">
        <f t="shared" ref="I53:I62" si="4">H53-G53</f>
        <v>795</v>
      </c>
      <c r="J53" s="12">
        <f t="shared" ref="J53:J62" si="5">I53/G53</f>
        <v>3.9949748743718594</v>
      </c>
      <c r="K53" s="10" t="s">
        <v>707</v>
      </c>
      <c r="L53" s="10"/>
    </row>
    <row r="54" spans="1:12" ht="15.6">
      <c r="A54" s="1" t="s">
        <v>564</v>
      </c>
      <c r="B54" s="1" t="s">
        <v>868</v>
      </c>
      <c r="C54" s="6" t="s">
        <v>932</v>
      </c>
      <c r="D54" s="1" t="s">
        <v>8</v>
      </c>
      <c r="E54" s="6">
        <v>99</v>
      </c>
      <c r="F54" s="6" t="s">
        <v>116</v>
      </c>
      <c r="G54" s="6">
        <v>99</v>
      </c>
      <c r="H54" s="6">
        <v>103</v>
      </c>
      <c r="I54" s="6">
        <f t="shared" si="4"/>
        <v>4</v>
      </c>
      <c r="J54" s="12">
        <f t="shared" si="5"/>
        <v>4.0404040404040407E-2</v>
      </c>
      <c r="K54" s="10" t="s">
        <v>519</v>
      </c>
      <c r="L54" s="10" t="s">
        <v>960</v>
      </c>
    </row>
    <row r="55" spans="1:12" ht="15.6">
      <c r="A55" s="1" t="s">
        <v>564</v>
      </c>
      <c r="B55" s="1" t="s">
        <v>868</v>
      </c>
      <c r="C55" s="6" t="s">
        <v>958</v>
      </c>
      <c r="D55" s="1" t="s">
        <v>8</v>
      </c>
      <c r="E55" s="6">
        <v>79</v>
      </c>
      <c r="F55" s="6" t="s">
        <v>116</v>
      </c>
      <c r="G55" s="6">
        <v>79</v>
      </c>
      <c r="H55" s="6">
        <v>109</v>
      </c>
      <c r="I55" s="6">
        <f t="shared" si="4"/>
        <v>30</v>
      </c>
      <c r="J55" s="12">
        <f t="shared" si="5"/>
        <v>0.379746835443038</v>
      </c>
      <c r="K55" s="10" t="s">
        <v>856</v>
      </c>
      <c r="L55" s="10" t="s">
        <v>961</v>
      </c>
    </row>
    <row r="56" spans="1:12" ht="15.6">
      <c r="A56" s="1" t="s">
        <v>564</v>
      </c>
      <c r="B56" s="1" t="s">
        <v>868</v>
      </c>
      <c r="C56" s="6" t="s">
        <v>966</v>
      </c>
      <c r="D56" s="1" t="s">
        <v>8</v>
      </c>
      <c r="E56" s="6">
        <v>499</v>
      </c>
      <c r="F56" s="6" t="s">
        <v>116</v>
      </c>
      <c r="G56" s="6">
        <v>499</v>
      </c>
      <c r="H56" s="6">
        <v>497</v>
      </c>
      <c r="I56" s="6">
        <f t="shared" si="4"/>
        <v>-2</v>
      </c>
      <c r="J56" s="12">
        <f t="shared" si="5"/>
        <v>-4.0080160320641279E-3</v>
      </c>
      <c r="K56" s="10" t="s">
        <v>519</v>
      </c>
      <c r="L56" s="10" t="s">
        <v>959</v>
      </c>
    </row>
    <row r="57" spans="1:12" ht="15.6">
      <c r="A57" s="1" t="s">
        <v>564</v>
      </c>
      <c r="B57" s="1" t="s">
        <v>868</v>
      </c>
      <c r="C57" s="6" t="s">
        <v>970</v>
      </c>
      <c r="D57" s="1" t="s">
        <v>8</v>
      </c>
      <c r="E57" s="6">
        <v>1106</v>
      </c>
      <c r="F57" s="6" t="s">
        <v>116</v>
      </c>
      <c r="G57" s="6">
        <v>1106</v>
      </c>
      <c r="H57" s="6">
        <v>1243</v>
      </c>
      <c r="I57" s="6">
        <f t="shared" si="4"/>
        <v>137</v>
      </c>
      <c r="J57" s="12">
        <f t="shared" si="5"/>
        <v>0.12386980108499096</v>
      </c>
      <c r="K57" s="10" t="s">
        <v>707</v>
      </c>
      <c r="L57" s="10" t="s">
        <v>933</v>
      </c>
    </row>
    <row r="58" spans="1:12" ht="15.6">
      <c r="A58" s="1" t="s">
        <v>564</v>
      </c>
      <c r="B58" s="1" t="s">
        <v>868</v>
      </c>
      <c r="C58" s="6" t="s">
        <v>982</v>
      </c>
      <c r="D58" s="1" t="s">
        <v>8</v>
      </c>
      <c r="E58" s="6">
        <v>1106</v>
      </c>
      <c r="F58" s="6" t="s">
        <v>116</v>
      </c>
      <c r="G58" s="6">
        <v>1106</v>
      </c>
      <c r="H58" s="6">
        <v>1243</v>
      </c>
      <c r="I58" s="6">
        <f t="shared" si="4"/>
        <v>137</v>
      </c>
      <c r="J58" s="12">
        <f t="shared" si="5"/>
        <v>0.12386980108499096</v>
      </c>
      <c r="K58" s="10" t="s">
        <v>856</v>
      </c>
      <c r="L58" s="10" t="s">
        <v>933</v>
      </c>
    </row>
    <row r="59" spans="1:12" ht="15.6">
      <c r="A59" s="1" t="s">
        <v>564</v>
      </c>
      <c r="B59" s="1" t="s">
        <v>868</v>
      </c>
      <c r="C59" s="6" t="s">
        <v>982</v>
      </c>
      <c r="D59" s="1" t="s">
        <v>8</v>
      </c>
      <c r="E59" s="6">
        <v>1106</v>
      </c>
      <c r="F59" s="6" t="s">
        <v>116</v>
      </c>
      <c r="G59" s="6">
        <v>1106</v>
      </c>
      <c r="H59" s="6">
        <v>1160</v>
      </c>
      <c r="I59" s="6">
        <f t="shared" si="4"/>
        <v>54</v>
      </c>
      <c r="J59" s="12">
        <f t="shared" si="5"/>
        <v>4.8824593128390596E-2</v>
      </c>
      <c r="K59" s="10" t="s">
        <v>856</v>
      </c>
      <c r="L59" s="10" t="s">
        <v>942</v>
      </c>
    </row>
    <row r="60" spans="1:12" ht="15.6">
      <c r="A60" s="1" t="s">
        <v>564</v>
      </c>
      <c r="B60" s="1" t="s">
        <v>868</v>
      </c>
      <c r="C60" s="6" t="s">
        <v>997</v>
      </c>
      <c r="D60" s="1" t="s">
        <v>8</v>
      </c>
      <c r="E60" s="6">
        <v>193</v>
      </c>
      <c r="F60" s="6" t="s">
        <v>116</v>
      </c>
      <c r="G60" s="6">
        <v>193</v>
      </c>
      <c r="H60" s="6">
        <v>1392</v>
      </c>
      <c r="I60" s="6">
        <f t="shared" si="4"/>
        <v>1199</v>
      </c>
      <c r="J60" s="12">
        <f t="shared" si="5"/>
        <v>6.2124352331606216</v>
      </c>
      <c r="K60" s="10" t="s">
        <v>707</v>
      </c>
      <c r="L60" s="10"/>
    </row>
    <row r="61" spans="1:12" ht="15.6">
      <c r="A61" s="1" t="s">
        <v>564</v>
      </c>
      <c r="B61" s="1" t="s">
        <v>868</v>
      </c>
      <c r="C61" s="6" t="s">
        <v>880</v>
      </c>
      <c r="D61" s="1" t="s">
        <v>8</v>
      </c>
      <c r="E61" s="6">
        <v>954</v>
      </c>
      <c r="F61" s="6" t="s">
        <v>116</v>
      </c>
      <c r="G61" s="6">
        <v>954</v>
      </c>
      <c r="H61" s="6">
        <v>998</v>
      </c>
      <c r="I61" s="6">
        <f t="shared" si="4"/>
        <v>44</v>
      </c>
      <c r="J61" s="12">
        <f t="shared" si="5"/>
        <v>4.6121593291404611E-2</v>
      </c>
      <c r="K61" s="10" t="s">
        <v>707</v>
      </c>
      <c r="L61" s="10" t="s">
        <v>933</v>
      </c>
    </row>
    <row r="62" spans="1:12" ht="15.6">
      <c r="A62" s="1" t="s">
        <v>564</v>
      </c>
      <c r="B62" s="6" t="s">
        <v>872</v>
      </c>
      <c r="C62" s="6" t="s">
        <v>941</v>
      </c>
      <c r="D62" s="1" t="s">
        <v>8</v>
      </c>
      <c r="E62" s="6">
        <v>474</v>
      </c>
      <c r="F62" s="6" t="s">
        <v>116</v>
      </c>
      <c r="G62" s="6">
        <v>474</v>
      </c>
      <c r="H62" s="6">
        <v>725</v>
      </c>
      <c r="I62" s="6">
        <f t="shared" si="4"/>
        <v>251</v>
      </c>
      <c r="J62" s="12">
        <f t="shared" si="5"/>
        <v>0.52953586497890293</v>
      </c>
      <c r="K62" s="10" t="s">
        <v>707</v>
      </c>
      <c r="L62" s="10" t="s">
        <v>933</v>
      </c>
    </row>
    <row r="63" spans="1:12" ht="15.6">
      <c r="A63" s="1" t="s">
        <v>564</v>
      </c>
      <c r="B63" s="1" t="s">
        <v>868</v>
      </c>
      <c r="C63" s="6" t="s">
        <v>1003</v>
      </c>
      <c r="D63" s="1" t="s">
        <v>8</v>
      </c>
      <c r="E63" s="6">
        <v>158</v>
      </c>
      <c r="F63" s="6" t="s">
        <v>319</v>
      </c>
      <c r="G63" s="6"/>
      <c r="H63" s="6"/>
      <c r="I63" s="6"/>
      <c r="J63" s="12"/>
      <c r="K63" s="10" t="s">
        <v>707</v>
      </c>
      <c r="L63" s="10"/>
    </row>
    <row r="64" spans="1:12" ht="15.6">
      <c r="A64" s="1" t="s">
        <v>564</v>
      </c>
      <c r="B64" s="1" t="s">
        <v>868</v>
      </c>
      <c r="C64" s="6" t="s">
        <v>1125</v>
      </c>
      <c r="D64" s="1" t="s">
        <v>8</v>
      </c>
      <c r="E64" s="6">
        <v>499</v>
      </c>
      <c r="F64" s="6" t="s">
        <v>116</v>
      </c>
      <c r="G64" s="6">
        <v>499</v>
      </c>
      <c r="H64" s="6">
        <v>1491</v>
      </c>
      <c r="I64" s="6">
        <f>H64-G64</f>
        <v>992</v>
      </c>
      <c r="J64" s="12">
        <f>I64/G64</f>
        <v>1.9879759519038076</v>
      </c>
      <c r="K64" s="10" t="s">
        <v>707</v>
      </c>
      <c r="L64" s="10"/>
    </row>
  </sheetData>
  <autoFilter ref="A1:N60" xr:uid="{8C6E34D1-DF5B-496C-9072-78E63816A57D}"/>
  <conditionalFormatting sqref="K2 D2:I2 B2">
    <cfRule type="expression" dxfId="1648" priority="1877">
      <formula>$F2="卖出"</formula>
    </cfRule>
  </conditionalFormatting>
  <conditionalFormatting sqref="J2">
    <cfRule type="expression" dxfId="1647" priority="1862">
      <formula>$F2="卖出"</formula>
    </cfRule>
  </conditionalFormatting>
  <conditionalFormatting sqref="L2">
    <cfRule type="expression" dxfId="1646" priority="1858">
      <formula>$F2="卖出"</formula>
    </cfRule>
  </conditionalFormatting>
  <conditionalFormatting sqref="C2">
    <cfRule type="expression" dxfId="1645" priority="1811">
      <formula>$F2="卖出"</formula>
    </cfRule>
  </conditionalFormatting>
  <conditionalFormatting sqref="C2">
    <cfRule type="duplicateValues" dxfId="1644" priority="1812"/>
  </conditionalFormatting>
  <conditionalFormatting sqref="C2">
    <cfRule type="duplicateValues" dxfId="1643" priority="1807"/>
  </conditionalFormatting>
  <conditionalFormatting sqref="C2">
    <cfRule type="expression" dxfId="1642" priority="1806">
      <formula>$F2="卖出"</formula>
    </cfRule>
  </conditionalFormatting>
  <conditionalFormatting sqref="C2">
    <cfRule type="expression" dxfId="1641" priority="1779">
      <formula>$F2="卖出"</formula>
    </cfRule>
  </conditionalFormatting>
  <conditionalFormatting sqref="C2">
    <cfRule type="expression" dxfId="1640" priority="1777">
      <formula>$F2="卖出"</formula>
    </cfRule>
  </conditionalFormatting>
  <conditionalFormatting sqref="C2">
    <cfRule type="expression" dxfId="1639" priority="1769">
      <formula>$F2="卖出"</formula>
    </cfRule>
  </conditionalFormatting>
  <conditionalFormatting sqref="C2">
    <cfRule type="duplicateValues" dxfId="1638" priority="1780"/>
  </conditionalFormatting>
  <conditionalFormatting sqref="C2">
    <cfRule type="duplicateValues" dxfId="1637" priority="1778"/>
  </conditionalFormatting>
  <conditionalFormatting sqref="C2">
    <cfRule type="duplicateValues" dxfId="1636" priority="1770"/>
  </conditionalFormatting>
  <conditionalFormatting sqref="A2">
    <cfRule type="expression" dxfId="1635" priority="1087">
      <formula>$F2="卖出"</formula>
    </cfRule>
  </conditionalFormatting>
  <conditionalFormatting sqref="C3:C60 B62">
    <cfRule type="expression" dxfId="1634" priority="242">
      <formula>$F3="卖出"</formula>
    </cfRule>
  </conditionalFormatting>
  <conditionalFormatting sqref="K3:K10 D3:I10 B3:B10 D50:I51 D49:H49 D54:H54 D47:I48 D46:H46 B23:B54 D23:I24 K23:K54 D25:H25 D26:I31 D33:I45 D32:H32 B12:B21 D12:I21 K12:K21 D53:I53 D52:G52">
    <cfRule type="expression" dxfId="1633" priority="252">
      <formula>$F3="卖出"</formula>
    </cfRule>
  </conditionalFormatting>
  <conditionalFormatting sqref="L3:L10 L23:L54 L12:L21">
    <cfRule type="expression" dxfId="1632" priority="250">
      <formula>$F3="卖出"</formula>
    </cfRule>
  </conditionalFormatting>
  <conditionalFormatting sqref="C3:C60 B62">
    <cfRule type="expression" dxfId="1631" priority="248">
      <formula>$F3="卖出"</formula>
    </cfRule>
  </conditionalFormatting>
  <conditionalFormatting sqref="C3:C60 B62">
    <cfRule type="expression" dxfId="1630" priority="246">
      <formula>$F3="卖出"</formula>
    </cfRule>
  </conditionalFormatting>
  <conditionalFormatting sqref="C3:C60 B62">
    <cfRule type="expression" dxfId="1629" priority="244">
      <formula>$F3="卖出"</formula>
    </cfRule>
  </conditionalFormatting>
  <conditionalFormatting sqref="C3:C60 B62">
    <cfRule type="expression" dxfId="1628" priority="240">
      <formula>$F3="卖出"</formula>
    </cfRule>
  </conditionalFormatting>
  <conditionalFormatting sqref="A3:A10 A23:A54 A12:A21">
    <cfRule type="expression" dxfId="1627" priority="239">
      <formula>$F3="卖出"</formula>
    </cfRule>
  </conditionalFormatting>
  <conditionalFormatting sqref="J3:J10 J50:J51 J47:J48 J23:J24 J26:J31 J33:J45 J12:J21 J53">
    <cfRule type="expression" dxfId="1626" priority="251">
      <formula>$F3="卖出"</formula>
    </cfRule>
  </conditionalFormatting>
  <conditionalFormatting sqref="B62 C3:C60">
    <cfRule type="duplicateValues" dxfId="1625" priority="249"/>
  </conditionalFormatting>
  <conditionalFormatting sqref="B62">
    <cfRule type="duplicateValues" dxfId="1624" priority="247"/>
  </conditionalFormatting>
  <conditionalFormatting sqref="B62">
    <cfRule type="duplicateValues" dxfId="1623" priority="245"/>
  </conditionalFormatting>
  <conditionalFormatting sqref="B62">
    <cfRule type="duplicateValues" dxfId="1622" priority="243"/>
  </conditionalFormatting>
  <conditionalFormatting sqref="B62">
    <cfRule type="duplicateValues" dxfId="1621" priority="241"/>
  </conditionalFormatting>
  <conditionalFormatting sqref="B55">
    <cfRule type="expression" dxfId="1620" priority="238">
      <formula>$F55="卖出"</formula>
    </cfRule>
  </conditionalFormatting>
  <conditionalFormatting sqref="A55">
    <cfRule type="expression" dxfId="1619" priority="237">
      <formula>$F55="卖出"</formula>
    </cfRule>
  </conditionalFormatting>
  <conditionalFormatting sqref="D55:H55">
    <cfRule type="expression" dxfId="1618" priority="236">
      <formula>$F55="卖出"</formula>
    </cfRule>
  </conditionalFormatting>
  <conditionalFormatting sqref="D56:G56 B56">
    <cfRule type="expression" dxfId="1617" priority="233">
      <formula>$F56="卖出"</formula>
    </cfRule>
  </conditionalFormatting>
  <conditionalFormatting sqref="L56">
    <cfRule type="expression" dxfId="1616" priority="231">
      <formula>$F56="卖出"</formula>
    </cfRule>
  </conditionalFormatting>
  <conditionalFormatting sqref="K55">
    <cfRule type="expression" dxfId="1615" priority="217">
      <formula>$F55="卖出"</formula>
    </cfRule>
  </conditionalFormatting>
  <conditionalFormatting sqref="I55">
    <cfRule type="expression" dxfId="1614" priority="215">
      <formula>$F55="卖出"</formula>
    </cfRule>
  </conditionalFormatting>
  <conditionalFormatting sqref="A56">
    <cfRule type="expression" dxfId="1613" priority="220">
      <formula>$F56="卖出"</formula>
    </cfRule>
  </conditionalFormatting>
  <conditionalFormatting sqref="L55">
    <cfRule type="expression" dxfId="1612" priority="216">
      <formula>$F55="卖出"</formula>
    </cfRule>
  </conditionalFormatting>
  <conditionalFormatting sqref="J55">
    <cfRule type="expression" dxfId="1611" priority="214">
      <formula>$F55="卖出"</formula>
    </cfRule>
  </conditionalFormatting>
  <conditionalFormatting sqref="K57">
    <cfRule type="expression" dxfId="1610" priority="185">
      <formula>$F57="卖出"</formula>
    </cfRule>
  </conditionalFormatting>
  <conditionalFormatting sqref="I57">
    <cfRule type="expression" dxfId="1609" priority="181">
      <formula>$F57="卖出"</formula>
    </cfRule>
  </conditionalFormatting>
  <conditionalFormatting sqref="A57">
    <cfRule type="expression" dxfId="1608" priority="187">
      <formula>$F57="卖出"</formula>
    </cfRule>
  </conditionalFormatting>
  <conditionalFormatting sqref="J57">
    <cfRule type="expression" dxfId="1607" priority="180">
      <formula>$F57="卖出"</formula>
    </cfRule>
  </conditionalFormatting>
  <conditionalFormatting sqref="B57">
    <cfRule type="expression" dxfId="1606" priority="188">
      <formula>$F57="卖出"</formula>
    </cfRule>
  </conditionalFormatting>
  <conditionalFormatting sqref="D57:H57">
    <cfRule type="expression" dxfId="1605" priority="186">
      <formula>$F57="卖出"</formula>
    </cfRule>
  </conditionalFormatting>
  <conditionalFormatting sqref="L57">
    <cfRule type="expression" dxfId="1604" priority="184">
      <formula>$F57="卖出"</formula>
    </cfRule>
  </conditionalFormatting>
  <conditionalFormatting sqref="J49">
    <cfRule type="expression" dxfId="1603" priority="141">
      <formula>$F49="卖出"</formula>
    </cfRule>
  </conditionalFormatting>
  <conditionalFormatting sqref="K58">
    <cfRule type="expression" dxfId="1602" priority="162">
      <formula>$F58="卖出"</formula>
    </cfRule>
  </conditionalFormatting>
  <conditionalFormatting sqref="A58">
    <cfRule type="expression" dxfId="1601" priority="168">
      <formula>$F58="卖出"</formula>
    </cfRule>
  </conditionalFormatting>
  <conditionalFormatting sqref="A59">
    <cfRule type="expression" dxfId="1600" priority="150">
      <formula>$F59="卖出"</formula>
    </cfRule>
  </conditionalFormatting>
  <conditionalFormatting sqref="B58">
    <cfRule type="expression" dxfId="1599" priority="169">
      <formula>$F58="卖出"</formula>
    </cfRule>
  </conditionalFormatting>
  <conditionalFormatting sqref="D58:G58">
    <cfRule type="expression" dxfId="1598" priority="167">
      <formula>$F58="卖出"</formula>
    </cfRule>
  </conditionalFormatting>
  <conditionalFormatting sqref="L58">
    <cfRule type="expression" dxfId="1597" priority="165">
      <formula>$F58="卖出"</formula>
    </cfRule>
  </conditionalFormatting>
  <conditionalFormatting sqref="I59">
    <cfRule type="expression" dxfId="1596" priority="144">
      <formula>$F59="卖出"</formula>
    </cfRule>
  </conditionalFormatting>
  <conditionalFormatting sqref="I49">
    <cfRule type="expression" dxfId="1595" priority="142">
      <formula>$F49="卖出"</formula>
    </cfRule>
  </conditionalFormatting>
  <conditionalFormatting sqref="H58">
    <cfRule type="expression" dxfId="1594" priority="140">
      <formula>$F58="卖出"</formula>
    </cfRule>
  </conditionalFormatting>
  <conditionalFormatting sqref="I58">
    <cfRule type="expression" dxfId="1593" priority="139">
      <formula>$F58="卖出"</formula>
    </cfRule>
  </conditionalFormatting>
  <conditionalFormatting sqref="L59">
    <cfRule type="expression" dxfId="1592" priority="148">
      <formula>$F59="卖出"</formula>
    </cfRule>
  </conditionalFormatting>
  <conditionalFormatting sqref="B59">
    <cfRule type="expression" dxfId="1591" priority="151">
      <formula>$F59="卖出"</formula>
    </cfRule>
  </conditionalFormatting>
  <conditionalFormatting sqref="D59:H59">
    <cfRule type="expression" dxfId="1590" priority="149">
      <formula>$F59="卖出"</formula>
    </cfRule>
  </conditionalFormatting>
  <conditionalFormatting sqref="K59">
    <cfRule type="expression" dxfId="1589" priority="145">
      <formula>$F59="卖出"</formula>
    </cfRule>
  </conditionalFormatting>
  <conditionalFormatting sqref="J59">
    <cfRule type="expression" dxfId="1588" priority="143">
      <formula>$F59="卖出"</formula>
    </cfRule>
  </conditionalFormatting>
  <conditionalFormatting sqref="J58">
    <cfRule type="expression" dxfId="1587" priority="138">
      <formula>$F58="卖出"</formula>
    </cfRule>
  </conditionalFormatting>
  <conditionalFormatting sqref="C50:C60 B62">
    <cfRule type="expression" dxfId="1586" priority="130">
      <formula>$F50="卖出"</formula>
    </cfRule>
  </conditionalFormatting>
  <conditionalFormatting sqref="C50:C60 B62">
    <cfRule type="expression" dxfId="1585" priority="136">
      <formula>$F50="卖出"</formula>
    </cfRule>
  </conditionalFormatting>
  <conditionalFormatting sqref="C50:C60 B62">
    <cfRule type="expression" dxfId="1584" priority="134">
      <formula>$F50="卖出"</formula>
    </cfRule>
  </conditionalFormatting>
  <conditionalFormatting sqref="C50:C60 B62">
    <cfRule type="expression" dxfId="1583" priority="132">
      <formula>$F50="卖出"</formula>
    </cfRule>
  </conditionalFormatting>
  <conditionalFormatting sqref="C50:C60 B62">
    <cfRule type="expression" dxfId="1582" priority="128">
      <formula>$F50="卖出"</formula>
    </cfRule>
  </conditionalFormatting>
  <conditionalFormatting sqref="B62 C50:C60">
    <cfRule type="duplicateValues" dxfId="1581" priority="137"/>
  </conditionalFormatting>
  <conditionalFormatting sqref="B62">
    <cfRule type="duplicateValues" dxfId="1580" priority="135"/>
  </conditionalFormatting>
  <conditionalFormatting sqref="B62">
    <cfRule type="duplicateValues" dxfId="1579" priority="133"/>
  </conditionalFormatting>
  <conditionalFormatting sqref="B62">
    <cfRule type="duplicateValues" dxfId="1578" priority="131"/>
  </conditionalFormatting>
  <conditionalFormatting sqref="B62">
    <cfRule type="duplicateValues" dxfId="1577" priority="129"/>
  </conditionalFormatting>
  <conditionalFormatting sqref="B60">
    <cfRule type="expression" dxfId="1576" priority="127">
      <formula>$F60="卖出"</formula>
    </cfRule>
  </conditionalFormatting>
  <conditionalFormatting sqref="A60">
    <cfRule type="expression" dxfId="1575" priority="126">
      <formula>$F60="卖出"</formula>
    </cfRule>
  </conditionalFormatting>
  <conditionalFormatting sqref="D60">
    <cfRule type="expression" dxfId="1574" priority="125">
      <formula>$F60="卖出"</formula>
    </cfRule>
  </conditionalFormatting>
  <conditionalFormatting sqref="F60">
    <cfRule type="expression" dxfId="1573" priority="124">
      <formula>$F60="卖出"</formula>
    </cfRule>
  </conditionalFormatting>
  <conditionalFormatting sqref="E60">
    <cfRule type="expression" dxfId="1572" priority="123">
      <formula>$F60="卖出"</formula>
    </cfRule>
  </conditionalFormatting>
  <conditionalFormatting sqref="I54">
    <cfRule type="expression" dxfId="1571" priority="115">
      <formula>$F54="卖出"</formula>
    </cfRule>
  </conditionalFormatting>
  <conditionalFormatting sqref="G60">
    <cfRule type="expression" dxfId="1570" priority="122">
      <formula>$F60="卖出"</formula>
    </cfRule>
  </conditionalFormatting>
  <conditionalFormatting sqref="L60">
    <cfRule type="expression" dxfId="1569" priority="121">
      <formula>$F60="卖出"</formula>
    </cfRule>
  </conditionalFormatting>
  <conditionalFormatting sqref="H60">
    <cfRule type="expression" dxfId="1568" priority="119">
      <formula>$F60="卖出"</formula>
    </cfRule>
  </conditionalFormatting>
  <conditionalFormatting sqref="I60">
    <cfRule type="expression" dxfId="1567" priority="118">
      <formula>$F60="卖出"</formula>
    </cfRule>
  </conditionalFormatting>
  <conditionalFormatting sqref="J60">
    <cfRule type="expression" dxfId="1566" priority="117">
      <formula>$F60="卖出"</formula>
    </cfRule>
  </conditionalFormatting>
  <conditionalFormatting sqref="K60">
    <cfRule type="expression" dxfId="1565" priority="116">
      <formula>$F60="卖出"</formula>
    </cfRule>
  </conditionalFormatting>
  <conditionalFormatting sqref="J54">
    <cfRule type="expression" dxfId="1564" priority="114">
      <formula>$F54="卖出"</formula>
    </cfRule>
  </conditionalFormatting>
  <conditionalFormatting sqref="I46">
    <cfRule type="expression" dxfId="1563" priority="113">
      <formula>$F46="卖出"</formula>
    </cfRule>
  </conditionalFormatting>
  <conditionalFormatting sqref="J46">
    <cfRule type="expression" dxfId="1562" priority="112">
      <formula>$F46="卖出"</formula>
    </cfRule>
  </conditionalFormatting>
  <conditionalFormatting sqref="C22">
    <cfRule type="expression" dxfId="1561" priority="101">
      <formula>$F22="卖出"</formula>
    </cfRule>
  </conditionalFormatting>
  <conditionalFormatting sqref="K22 D22:I22 B22">
    <cfRule type="expression" dxfId="1560" priority="111">
      <formula>$F22="卖出"</formula>
    </cfRule>
  </conditionalFormatting>
  <conditionalFormatting sqref="L22">
    <cfRule type="expression" dxfId="1559" priority="109">
      <formula>$F22="卖出"</formula>
    </cfRule>
  </conditionalFormatting>
  <conditionalFormatting sqref="C22">
    <cfRule type="expression" dxfId="1558" priority="107">
      <formula>$F22="卖出"</formula>
    </cfRule>
  </conditionalFormatting>
  <conditionalFormatting sqref="C22">
    <cfRule type="expression" dxfId="1557" priority="105">
      <formula>$F22="卖出"</formula>
    </cfRule>
  </conditionalFormatting>
  <conditionalFormatting sqref="C22">
    <cfRule type="expression" dxfId="1556" priority="103">
      <formula>$F22="卖出"</formula>
    </cfRule>
  </conditionalFormatting>
  <conditionalFormatting sqref="C22">
    <cfRule type="expression" dxfId="1555" priority="99">
      <formula>$F22="卖出"</formula>
    </cfRule>
  </conditionalFormatting>
  <conditionalFormatting sqref="A22">
    <cfRule type="expression" dxfId="1554" priority="98">
      <formula>$F22="卖出"</formula>
    </cfRule>
  </conditionalFormatting>
  <conditionalFormatting sqref="J22">
    <cfRule type="expression" dxfId="1553" priority="110">
      <formula>$F22="卖出"</formula>
    </cfRule>
  </conditionalFormatting>
  <conditionalFormatting sqref="C22">
    <cfRule type="duplicateValues" dxfId="1552" priority="108"/>
  </conditionalFormatting>
  <conditionalFormatting sqref="C22">
    <cfRule type="duplicateValues" dxfId="1551" priority="106"/>
  </conditionalFormatting>
  <conditionalFormatting sqref="C22">
    <cfRule type="duplicateValues" dxfId="1550" priority="104"/>
  </conditionalFormatting>
  <conditionalFormatting sqref="C22">
    <cfRule type="duplicateValues" dxfId="1549" priority="102"/>
  </conditionalFormatting>
  <conditionalFormatting sqref="C22">
    <cfRule type="duplicateValues" dxfId="1548" priority="100"/>
  </conditionalFormatting>
  <conditionalFormatting sqref="I25">
    <cfRule type="expression" dxfId="1547" priority="97">
      <formula>$F25="卖出"</formula>
    </cfRule>
  </conditionalFormatting>
  <conditionalFormatting sqref="J25">
    <cfRule type="expression" dxfId="1546" priority="96">
      <formula>$F25="卖出"</formula>
    </cfRule>
  </conditionalFormatting>
  <conditionalFormatting sqref="I32">
    <cfRule type="expression" dxfId="1545" priority="95">
      <formula>$F32="卖出"</formula>
    </cfRule>
  </conditionalFormatting>
  <conditionalFormatting sqref="J32">
    <cfRule type="expression" dxfId="1544" priority="94">
      <formula>$F32="卖出"</formula>
    </cfRule>
  </conditionalFormatting>
  <conditionalFormatting sqref="C61">
    <cfRule type="expression" dxfId="1543" priority="84">
      <formula>$F61="卖出"</formula>
    </cfRule>
  </conditionalFormatting>
  <conditionalFormatting sqref="B61 K61 D61:H61">
    <cfRule type="expression" dxfId="1542" priority="93">
      <formula>$F61="卖出"</formula>
    </cfRule>
  </conditionalFormatting>
  <conditionalFormatting sqref="L61">
    <cfRule type="expression" dxfId="1541" priority="92">
      <formula>$F61="卖出"</formula>
    </cfRule>
  </conditionalFormatting>
  <conditionalFormatting sqref="C61">
    <cfRule type="expression" dxfId="1540" priority="90">
      <formula>$F61="卖出"</formula>
    </cfRule>
  </conditionalFormatting>
  <conditionalFormatting sqref="C61">
    <cfRule type="expression" dxfId="1539" priority="88">
      <formula>$F61="卖出"</formula>
    </cfRule>
  </conditionalFormatting>
  <conditionalFormatting sqref="C61">
    <cfRule type="expression" dxfId="1538" priority="86">
      <formula>$F61="卖出"</formula>
    </cfRule>
  </conditionalFormatting>
  <conditionalFormatting sqref="C61">
    <cfRule type="expression" dxfId="1537" priority="82">
      <formula>$F61="卖出"</formula>
    </cfRule>
  </conditionalFormatting>
  <conditionalFormatting sqref="A61">
    <cfRule type="expression" dxfId="1536" priority="81">
      <formula>$F61="卖出"</formula>
    </cfRule>
  </conditionalFormatting>
  <conditionalFormatting sqref="C61">
    <cfRule type="duplicateValues" dxfId="1535" priority="91"/>
  </conditionalFormatting>
  <conditionalFormatting sqref="C61">
    <cfRule type="duplicateValues" dxfId="1534" priority="89"/>
  </conditionalFormatting>
  <conditionalFormatting sqref="C61">
    <cfRule type="duplicateValues" dxfId="1533" priority="87"/>
  </conditionalFormatting>
  <conditionalFormatting sqref="C61">
    <cfRule type="duplicateValues" dxfId="1532" priority="85"/>
  </conditionalFormatting>
  <conditionalFormatting sqref="C61">
    <cfRule type="duplicateValues" dxfId="1531" priority="83"/>
  </conditionalFormatting>
  <conditionalFormatting sqref="I61">
    <cfRule type="expression" dxfId="1530" priority="78">
      <formula>$F61="卖出"</formula>
    </cfRule>
  </conditionalFormatting>
  <conditionalFormatting sqref="J61">
    <cfRule type="expression" dxfId="1529" priority="77">
      <formula>$F61="卖出"</formula>
    </cfRule>
  </conditionalFormatting>
  <conditionalFormatting sqref="C11">
    <cfRule type="expression" dxfId="1528" priority="66">
      <formula>$F11="卖出"</formula>
    </cfRule>
  </conditionalFormatting>
  <conditionalFormatting sqref="K11 D11:I11 B11">
    <cfRule type="expression" dxfId="1527" priority="76">
      <formula>$F11="卖出"</formula>
    </cfRule>
  </conditionalFormatting>
  <conditionalFormatting sqref="L11">
    <cfRule type="expression" dxfId="1526" priority="74">
      <formula>$F11="卖出"</formula>
    </cfRule>
  </conditionalFormatting>
  <conditionalFormatting sqref="C11">
    <cfRule type="expression" dxfId="1525" priority="72">
      <formula>$F11="卖出"</formula>
    </cfRule>
  </conditionalFormatting>
  <conditionalFormatting sqref="C11">
    <cfRule type="expression" dxfId="1524" priority="70">
      <formula>$F11="卖出"</formula>
    </cfRule>
  </conditionalFormatting>
  <conditionalFormatting sqref="C11">
    <cfRule type="expression" dxfId="1523" priority="68">
      <formula>$F11="卖出"</formula>
    </cfRule>
  </conditionalFormatting>
  <conditionalFormatting sqref="C11">
    <cfRule type="expression" dxfId="1522" priority="64">
      <formula>$F11="卖出"</formula>
    </cfRule>
  </conditionalFormatting>
  <conditionalFormatting sqref="A11">
    <cfRule type="expression" dxfId="1521" priority="63">
      <formula>$F11="卖出"</formula>
    </cfRule>
  </conditionalFormatting>
  <conditionalFormatting sqref="J11">
    <cfRule type="expression" dxfId="1520" priority="75">
      <formula>$F11="卖出"</formula>
    </cfRule>
  </conditionalFormatting>
  <conditionalFormatting sqref="C11">
    <cfRule type="duplicateValues" dxfId="1519" priority="73"/>
  </conditionalFormatting>
  <conditionalFormatting sqref="C11">
    <cfRule type="duplicateValues" dxfId="1518" priority="71"/>
  </conditionalFormatting>
  <conditionalFormatting sqref="C11">
    <cfRule type="duplicateValues" dxfId="1517" priority="69"/>
  </conditionalFormatting>
  <conditionalFormatting sqref="C11">
    <cfRule type="duplicateValues" dxfId="1516" priority="67"/>
  </conditionalFormatting>
  <conditionalFormatting sqref="C11">
    <cfRule type="duplicateValues" dxfId="1515" priority="65"/>
  </conditionalFormatting>
  <conditionalFormatting sqref="C62">
    <cfRule type="expression" dxfId="1514" priority="58">
      <formula>$F62="卖出"</formula>
    </cfRule>
  </conditionalFormatting>
  <conditionalFormatting sqref="C62">
    <cfRule type="expression" dxfId="1513" priority="61">
      <formula>$F62="卖出"</formula>
    </cfRule>
  </conditionalFormatting>
  <conditionalFormatting sqref="C62">
    <cfRule type="expression" dxfId="1512" priority="60">
      <formula>$F62="卖出"</formula>
    </cfRule>
  </conditionalFormatting>
  <conditionalFormatting sqref="C62">
    <cfRule type="expression" dxfId="1511" priority="59">
      <formula>$F62="卖出"</formula>
    </cfRule>
  </conditionalFormatting>
  <conditionalFormatting sqref="C62">
    <cfRule type="expression" dxfId="1510" priority="57">
      <formula>$F62="卖出"</formula>
    </cfRule>
  </conditionalFormatting>
  <conditionalFormatting sqref="C62">
    <cfRule type="duplicateValues" dxfId="1509" priority="62"/>
  </conditionalFormatting>
  <conditionalFormatting sqref="A62">
    <cfRule type="expression" dxfId="1508" priority="56">
      <formula>$F62="卖出"</formula>
    </cfRule>
  </conditionalFormatting>
  <conditionalFormatting sqref="D62:F62">
    <cfRule type="expression" dxfId="1507" priority="55">
      <formula>$F62="卖出"</formula>
    </cfRule>
  </conditionalFormatting>
  <conditionalFormatting sqref="K62 G62:H62">
    <cfRule type="expression" dxfId="1506" priority="54">
      <formula>$F62="卖出"</formula>
    </cfRule>
  </conditionalFormatting>
  <conditionalFormatting sqref="L62">
    <cfRule type="expression" dxfId="1505" priority="53">
      <formula>$F62="卖出"</formula>
    </cfRule>
  </conditionalFormatting>
  <conditionalFormatting sqref="I62">
    <cfRule type="expression" dxfId="1504" priority="52">
      <formula>$F62="卖出"</formula>
    </cfRule>
  </conditionalFormatting>
  <conditionalFormatting sqref="J62">
    <cfRule type="expression" dxfId="1503" priority="51">
      <formula>$F62="卖出"</formula>
    </cfRule>
  </conditionalFormatting>
  <conditionalFormatting sqref="B63 K63 D63:H63">
    <cfRule type="expression" dxfId="1502" priority="50">
      <formula>$F63="卖出"</formula>
    </cfRule>
  </conditionalFormatting>
  <conditionalFormatting sqref="L63">
    <cfRule type="expression" dxfId="1501" priority="49">
      <formula>$F63="卖出"</formula>
    </cfRule>
  </conditionalFormatting>
  <conditionalFormatting sqref="A63">
    <cfRule type="expression" dxfId="1500" priority="38">
      <formula>$F63="卖出"</formula>
    </cfRule>
  </conditionalFormatting>
  <conditionalFormatting sqref="I63">
    <cfRule type="expression" dxfId="1499" priority="37">
      <formula>$F63="卖出"</formula>
    </cfRule>
  </conditionalFormatting>
  <conditionalFormatting sqref="J63">
    <cfRule type="expression" dxfId="1498" priority="36">
      <formula>$F63="卖出"</formula>
    </cfRule>
  </conditionalFormatting>
  <conditionalFormatting sqref="C63">
    <cfRule type="expression" dxfId="1497" priority="31">
      <formula>$F63="卖出"</formula>
    </cfRule>
  </conditionalFormatting>
  <conditionalFormatting sqref="C63">
    <cfRule type="expression" dxfId="1496" priority="34">
      <formula>$F63="卖出"</formula>
    </cfRule>
  </conditionalFormatting>
  <conditionalFormatting sqref="C63">
    <cfRule type="expression" dxfId="1495" priority="33">
      <formula>$F63="卖出"</formula>
    </cfRule>
  </conditionalFormatting>
  <conditionalFormatting sqref="C63">
    <cfRule type="expression" dxfId="1494" priority="32">
      <formula>$F63="卖出"</formula>
    </cfRule>
  </conditionalFormatting>
  <conditionalFormatting sqref="C63">
    <cfRule type="expression" dxfId="1493" priority="30">
      <formula>$F63="卖出"</formula>
    </cfRule>
  </conditionalFormatting>
  <conditionalFormatting sqref="C63">
    <cfRule type="duplicateValues" dxfId="1492" priority="35"/>
  </conditionalFormatting>
  <conditionalFormatting sqref="C63">
    <cfRule type="expression" dxfId="1491" priority="25">
      <formula>$F63="卖出"</formula>
    </cfRule>
  </conditionalFormatting>
  <conditionalFormatting sqref="C63">
    <cfRule type="expression" dxfId="1490" priority="28">
      <formula>$F63="卖出"</formula>
    </cfRule>
  </conditionalFormatting>
  <conditionalFormatting sqref="C63">
    <cfRule type="expression" dxfId="1489" priority="27">
      <formula>$F63="卖出"</formula>
    </cfRule>
  </conditionalFormatting>
  <conditionalFormatting sqref="C63">
    <cfRule type="expression" dxfId="1488" priority="26">
      <formula>$F63="卖出"</formula>
    </cfRule>
  </conditionalFormatting>
  <conditionalFormatting sqref="C63">
    <cfRule type="expression" dxfId="1487" priority="24">
      <formula>$F63="卖出"</formula>
    </cfRule>
  </conditionalFormatting>
  <conditionalFormatting sqref="C63">
    <cfRule type="duplicateValues" dxfId="1486" priority="29"/>
  </conditionalFormatting>
  <conditionalFormatting sqref="K56 H56">
    <cfRule type="expression" dxfId="1485" priority="20">
      <formula>$F56="卖出"</formula>
    </cfRule>
  </conditionalFormatting>
  <conditionalFormatting sqref="I56">
    <cfRule type="expression" dxfId="1484" priority="18">
      <formula>$F56="卖出"</formula>
    </cfRule>
  </conditionalFormatting>
  <conditionalFormatting sqref="J56">
    <cfRule type="expression" dxfId="1483" priority="17">
      <formula>$F56="卖出"</formula>
    </cfRule>
  </conditionalFormatting>
  <conditionalFormatting sqref="C64">
    <cfRule type="expression" dxfId="1482" priority="9">
      <formula>$F64="卖出"</formula>
    </cfRule>
  </conditionalFormatting>
  <conditionalFormatting sqref="B64 K64 D64:I64">
    <cfRule type="expression" dxfId="1481" priority="16">
      <formula>$F64="卖出"</formula>
    </cfRule>
  </conditionalFormatting>
  <conditionalFormatting sqref="L64">
    <cfRule type="expression" dxfId="1480" priority="14">
      <formula>$F64="卖出"</formula>
    </cfRule>
  </conditionalFormatting>
  <conditionalFormatting sqref="C64">
    <cfRule type="expression" dxfId="1479" priority="12">
      <formula>$F64="卖出"</formula>
    </cfRule>
  </conditionalFormatting>
  <conditionalFormatting sqref="C64">
    <cfRule type="expression" dxfId="1478" priority="11">
      <formula>$F64="卖出"</formula>
    </cfRule>
  </conditionalFormatting>
  <conditionalFormatting sqref="C64">
    <cfRule type="expression" dxfId="1477" priority="10">
      <formula>$F64="卖出"</formula>
    </cfRule>
  </conditionalFormatting>
  <conditionalFormatting sqref="C64">
    <cfRule type="expression" dxfId="1476" priority="8">
      <formula>$F64="卖出"</formula>
    </cfRule>
  </conditionalFormatting>
  <conditionalFormatting sqref="A64">
    <cfRule type="expression" dxfId="1475" priority="7">
      <formula>$F64="卖出"</formula>
    </cfRule>
  </conditionalFormatting>
  <conditionalFormatting sqref="J64">
    <cfRule type="expression" dxfId="1474" priority="15">
      <formula>$F64="卖出"</formula>
    </cfRule>
  </conditionalFormatting>
  <conditionalFormatting sqref="C64">
    <cfRule type="duplicateValues" dxfId="1473" priority="13"/>
  </conditionalFormatting>
  <conditionalFormatting sqref="C64">
    <cfRule type="expression" dxfId="1472" priority="2">
      <formula>$F64="卖出"</formula>
    </cfRule>
  </conditionalFormatting>
  <conditionalFormatting sqref="C64">
    <cfRule type="expression" dxfId="1471" priority="5">
      <formula>$F64="卖出"</formula>
    </cfRule>
  </conditionalFormatting>
  <conditionalFormatting sqref="C64">
    <cfRule type="expression" dxfId="1470" priority="4">
      <formula>$F64="卖出"</formula>
    </cfRule>
  </conditionalFormatting>
  <conditionalFormatting sqref="C64">
    <cfRule type="expression" dxfId="1469" priority="3">
      <formula>$F64="卖出"</formula>
    </cfRule>
  </conditionalFormatting>
  <conditionalFormatting sqref="C64">
    <cfRule type="expression" dxfId="1468" priority="1">
      <formula>$F64="卖出"</formula>
    </cfRule>
  </conditionalFormatting>
  <conditionalFormatting sqref="C64">
    <cfRule type="duplicateValues" dxfId="1467" priority="6"/>
  </conditionalFormatting>
  <dataValidations count="2">
    <dataValidation type="list" allowBlank="1" showInputMessage="1" showErrorMessage="1" sqref="D2:D64" xr:uid="{BFF9B749-7A75-4AE8-B6F2-1CECDCCDCC86}">
      <formula1>"全新,拆摆,待定"</formula1>
    </dataValidation>
    <dataValidation type="list" allowBlank="1" showInputMessage="1" showErrorMessage="1" sqref="F1:F64" xr:uid="{26EA6CBB-18EA-40D3-8959-1960E129ED88}">
      <formula1>"留存,卖出"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0C34-7A81-46D1-ADCE-9A02F6112FA2}">
  <sheetPr codeName="Sheet3"/>
  <dimension ref="A1:P116"/>
  <sheetViews>
    <sheetView zoomScaleNormal="100" workbookViewId="0">
      <pane ySplit="1" topLeftCell="A77" activePane="bottomLeft" state="frozen"/>
      <selection pane="bottomLeft" activeCell="B1" sqref="B1:K1"/>
    </sheetView>
  </sheetViews>
  <sheetFormatPr defaultRowHeight="14.4"/>
  <cols>
    <col min="1" max="1" width="36.44140625" bestFit="1" customWidth="1"/>
    <col min="2" max="2" width="15.33203125" bestFit="1" customWidth="1"/>
    <col min="3" max="3" width="38.6640625" customWidth="1"/>
    <col min="10" max="10" width="8.6640625" style="4"/>
    <col min="11" max="11" width="14.33203125" style="11" bestFit="1" customWidth="1"/>
    <col min="13" max="13" width="12" bestFit="1" customWidth="1"/>
  </cols>
  <sheetData>
    <row r="1" spans="1:14" ht="16.2">
      <c r="A1" s="9" t="s">
        <v>12</v>
      </c>
      <c r="B1" s="9" t="s">
        <v>31</v>
      </c>
      <c r="C1" s="9" t="s">
        <v>0</v>
      </c>
      <c r="D1" s="9" t="s">
        <v>7</v>
      </c>
      <c r="E1" s="9" t="s">
        <v>2</v>
      </c>
      <c r="F1" s="9" t="s">
        <v>11</v>
      </c>
      <c r="G1" s="9" t="s">
        <v>279</v>
      </c>
      <c r="H1" s="9" t="s">
        <v>3</v>
      </c>
      <c r="I1" s="9" t="s">
        <v>280</v>
      </c>
      <c r="J1" s="9" t="s">
        <v>267</v>
      </c>
      <c r="K1" s="9" t="s">
        <v>22</v>
      </c>
    </row>
    <row r="2" spans="1:14" ht="15.6">
      <c r="A2" s="1" t="s">
        <v>13</v>
      </c>
      <c r="B2" s="1" t="s">
        <v>60</v>
      </c>
      <c r="C2" s="1" t="s">
        <v>150</v>
      </c>
      <c r="D2" s="1" t="s">
        <v>8</v>
      </c>
      <c r="E2" s="6" t="s">
        <v>319</v>
      </c>
      <c r="F2" s="1">
        <v>301</v>
      </c>
      <c r="G2" s="1"/>
      <c r="H2" s="1"/>
      <c r="I2" s="1"/>
      <c r="J2" s="1"/>
      <c r="K2" s="1"/>
      <c r="L2" s="6"/>
      <c r="M2" s="8" t="s">
        <v>16</v>
      </c>
      <c r="N2" s="8">
        <f>SUM(F:F)</f>
        <v>24814</v>
      </c>
    </row>
    <row r="3" spans="1:14" ht="15.6">
      <c r="A3" s="1" t="s">
        <v>13</v>
      </c>
      <c r="B3" s="1" t="s">
        <v>38</v>
      </c>
      <c r="C3" s="1" t="s">
        <v>151</v>
      </c>
      <c r="D3" s="1" t="s">
        <v>8</v>
      </c>
      <c r="E3" s="6" t="s">
        <v>5</v>
      </c>
      <c r="F3" s="1">
        <v>191</v>
      </c>
      <c r="G3" s="1"/>
      <c r="H3" s="1"/>
      <c r="I3" s="1"/>
      <c r="J3" s="1"/>
      <c r="K3" s="1"/>
      <c r="L3" s="6"/>
      <c r="M3" s="8" t="s">
        <v>17</v>
      </c>
      <c r="N3" s="8">
        <f>SUM(H:H)</f>
        <v>365</v>
      </c>
    </row>
    <row r="4" spans="1:14" ht="15.6">
      <c r="A4" s="1" t="s">
        <v>13</v>
      </c>
      <c r="B4" s="1" t="s">
        <v>38</v>
      </c>
      <c r="C4" s="1" t="s">
        <v>152</v>
      </c>
      <c r="D4" s="1" t="s">
        <v>8</v>
      </c>
      <c r="E4" s="6" t="s">
        <v>319</v>
      </c>
      <c r="F4" s="1">
        <v>351</v>
      </c>
      <c r="G4" s="1"/>
      <c r="H4" s="1"/>
      <c r="I4" s="1"/>
      <c r="J4" s="1"/>
      <c r="K4" s="1"/>
      <c r="L4" s="6"/>
      <c r="M4" s="2" t="s">
        <v>281</v>
      </c>
      <c r="N4" s="8">
        <f>SUM(G:G)</f>
        <v>313</v>
      </c>
    </row>
    <row r="5" spans="1:14" ht="15.6">
      <c r="A5" s="1" t="s">
        <v>13</v>
      </c>
      <c r="B5" s="1" t="s">
        <v>153</v>
      </c>
      <c r="C5" s="1" t="s">
        <v>46</v>
      </c>
      <c r="D5" s="1" t="s">
        <v>8</v>
      </c>
      <c r="E5" s="6" t="s">
        <v>5</v>
      </c>
      <c r="F5" s="1">
        <v>50</v>
      </c>
      <c r="G5" s="1"/>
      <c r="H5" s="1"/>
      <c r="I5" s="1"/>
      <c r="J5" s="1"/>
      <c r="K5" s="1"/>
      <c r="L5" s="6"/>
      <c r="M5" s="8" t="s">
        <v>280</v>
      </c>
      <c r="N5" s="8">
        <f>SUM(I:I)</f>
        <v>52</v>
      </c>
    </row>
    <row r="6" spans="1:14" ht="15.6">
      <c r="A6" s="1" t="s">
        <v>13</v>
      </c>
      <c r="B6" s="1" t="s">
        <v>38</v>
      </c>
      <c r="C6" s="1" t="s">
        <v>154</v>
      </c>
      <c r="D6" s="1" t="s">
        <v>8</v>
      </c>
      <c r="E6" s="6" t="s">
        <v>5</v>
      </c>
      <c r="F6" s="1">
        <v>289</v>
      </c>
      <c r="G6" s="1"/>
      <c r="H6" s="1"/>
      <c r="I6" s="1"/>
      <c r="J6" s="1"/>
      <c r="K6" s="1"/>
      <c r="M6" s="2" t="s">
        <v>267</v>
      </c>
      <c r="N6" s="13">
        <f>ROUND(N5/N4,4)</f>
        <v>0.1661</v>
      </c>
    </row>
    <row r="7" spans="1:14" ht="15.6">
      <c r="A7" s="1" t="s">
        <v>13</v>
      </c>
      <c r="B7" s="1" t="s">
        <v>93</v>
      </c>
      <c r="C7" s="1" t="s">
        <v>155</v>
      </c>
      <c r="D7" s="1" t="s">
        <v>8</v>
      </c>
      <c r="E7" s="6" t="s">
        <v>5</v>
      </c>
      <c r="F7" s="1">
        <v>663</v>
      </c>
      <c r="G7" s="1"/>
      <c r="H7" s="1"/>
      <c r="I7" s="1"/>
      <c r="J7" s="1"/>
      <c r="K7" s="1"/>
      <c r="M7" s="8" t="s">
        <v>18</v>
      </c>
      <c r="N7" s="8">
        <f>N2-N3</f>
        <v>24449</v>
      </c>
    </row>
    <row r="8" spans="1:14" ht="15.6">
      <c r="A8" s="1" t="s">
        <v>13</v>
      </c>
      <c r="B8" s="1" t="s">
        <v>38</v>
      </c>
      <c r="C8" s="1" t="s">
        <v>156</v>
      </c>
      <c r="D8" s="1" t="s">
        <v>8</v>
      </c>
      <c r="E8" s="6" t="s">
        <v>5</v>
      </c>
      <c r="F8" s="1">
        <v>114</v>
      </c>
      <c r="G8" s="1"/>
      <c r="H8" s="1"/>
      <c r="I8" s="1"/>
      <c r="J8" s="1"/>
      <c r="K8" s="1"/>
    </row>
    <row r="9" spans="1:14" ht="15.6">
      <c r="A9" s="1" t="s">
        <v>13</v>
      </c>
      <c r="B9" s="1" t="s">
        <v>100</v>
      </c>
      <c r="C9" s="1" t="s">
        <v>107</v>
      </c>
      <c r="D9" s="1" t="s">
        <v>8</v>
      </c>
      <c r="E9" s="6" t="s">
        <v>5</v>
      </c>
      <c r="F9" s="1">
        <v>82</v>
      </c>
      <c r="G9" s="1"/>
      <c r="H9" s="1"/>
      <c r="I9" s="1"/>
      <c r="J9" s="1"/>
      <c r="K9" s="1" t="s">
        <v>157</v>
      </c>
    </row>
    <row r="10" spans="1:14" ht="15.6">
      <c r="A10" s="1" t="s">
        <v>13</v>
      </c>
      <c r="B10" s="1" t="s">
        <v>38</v>
      </c>
      <c r="C10" s="1" t="s">
        <v>79</v>
      </c>
      <c r="D10" s="1" t="s">
        <v>8</v>
      </c>
      <c r="E10" s="6" t="s">
        <v>5</v>
      </c>
      <c r="F10" s="1">
        <v>170</v>
      </c>
      <c r="G10" s="1"/>
      <c r="H10" s="1"/>
      <c r="I10" s="1"/>
      <c r="J10" s="1"/>
      <c r="K10" s="1"/>
    </row>
    <row r="11" spans="1:14" ht="15.6">
      <c r="A11" s="1" t="s">
        <v>13</v>
      </c>
      <c r="B11" s="1" t="s">
        <v>38</v>
      </c>
      <c r="C11" s="1" t="s">
        <v>158</v>
      </c>
      <c r="D11" s="1" t="s">
        <v>8</v>
      </c>
      <c r="E11" s="6" t="s">
        <v>5</v>
      </c>
      <c r="F11" s="1">
        <v>359</v>
      </c>
      <c r="G11" s="1"/>
      <c r="H11" s="1"/>
      <c r="I11" s="1"/>
      <c r="J11" s="1"/>
      <c r="K11" s="1"/>
      <c r="L11" s="1"/>
    </row>
    <row r="12" spans="1:14" ht="15.6">
      <c r="A12" s="1" t="s">
        <v>13</v>
      </c>
      <c r="B12" s="1" t="s">
        <v>77</v>
      </c>
      <c r="C12" s="1" t="s">
        <v>159</v>
      </c>
      <c r="D12" s="1" t="s">
        <v>8</v>
      </c>
      <c r="E12" s="6" t="s">
        <v>5</v>
      </c>
      <c r="F12" s="1">
        <v>70</v>
      </c>
      <c r="G12" s="1"/>
      <c r="H12" s="1"/>
      <c r="I12" s="1"/>
      <c r="J12" s="1"/>
      <c r="K12" s="1"/>
      <c r="L12" s="1"/>
    </row>
    <row r="13" spans="1:14" ht="15.6">
      <c r="A13" s="1" t="s">
        <v>13</v>
      </c>
      <c r="B13" s="1" t="s">
        <v>38</v>
      </c>
      <c r="C13" s="1" t="s">
        <v>57</v>
      </c>
      <c r="D13" s="1" t="s">
        <v>8</v>
      </c>
      <c r="E13" s="6" t="s">
        <v>5</v>
      </c>
      <c r="F13" s="1">
        <v>161</v>
      </c>
      <c r="G13" s="1"/>
      <c r="H13" s="1"/>
      <c r="I13" s="1"/>
      <c r="J13" s="1"/>
      <c r="K13" s="1"/>
      <c r="L13" s="1"/>
    </row>
    <row r="14" spans="1:14" ht="15.6">
      <c r="A14" s="1" t="s">
        <v>13</v>
      </c>
      <c r="B14" s="1" t="s">
        <v>101</v>
      </c>
      <c r="C14" s="1" t="s">
        <v>160</v>
      </c>
      <c r="D14" s="1" t="s">
        <v>8</v>
      </c>
      <c r="E14" s="6" t="s">
        <v>5</v>
      </c>
      <c r="F14" s="1">
        <v>69</v>
      </c>
      <c r="G14" s="1"/>
      <c r="H14" s="1"/>
      <c r="I14" s="1"/>
      <c r="J14" s="1"/>
      <c r="K14" s="1">
        <v>9</v>
      </c>
      <c r="L14" s="1"/>
    </row>
    <row r="15" spans="1:14" ht="15.6">
      <c r="A15" s="1" t="s">
        <v>13</v>
      </c>
      <c r="B15" s="1" t="s">
        <v>77</v>
      </c>
      <c r="C15" s="1" t="s">
        <v>162</v>
      </c>
      <c r="D15" s="1" t="s">
        <v>8</v>
      </c>
      <c r="E15" s="6" t="s">
        <v>5</v>
      </c>
      <c r="F15" s="1">
        <v>223</v>
      </c>
      <c r="G15" s="1"/>
      <c r="H15" s="1"/>
      <c r="I15" s="1"/>
      <c r="J15" s="1"/>
      <c r="K15" s="1"/>
      <c r="L15" s="1"/>
    </row>
    <row r="16" spans="1:14" ht="15.6">
      <c r="A16" s="1" t="s">
        <v>13</v>
      </c>
      <c r="B16" s="1" t="s">
        <v>40</v>
      </c>
      <c r="C16" s="1" t="s">
        <v>161</v>
      </c>
      <c r="D16" s="1" t="s">
        <v>8</v>
      </c>
      <c r="E16" s="6" t="s">
        <v>5</v>
      </c>
      <c r="F16" s="1">
        <v>325</v>
      </c>
      <c r="G16" s="1"/>
      <c r="H16" s="1"/>
      <c r="I16" s="1"/>
      <c r="J16" s="1"/>
      <c r="K16" s="1"/>
      <c r="L16" s="1"/>
    </row>
    <row r="17" spans="1:12" ht="15.6">
      <c r="A17" s="1" t="s">
        <v>13</v>
      </c>
      <c r="B17" s="1" t="s">
        <v>38</v>
      </c>
      <c r="C17" s="1" t="s">
        <v>163</v>
      </c>
      <c r="D17" s="1" t="s">
        <v>8</v>
      </c>
      <c r="E17" s="6" t="s">
        <v>5</v>
      </c>
      <c r="F17" s="1">
        <v>386</v>
      </c>
      <c r="G17" s="1"/>
      <c r="H17" s="1"/>
      <c r="I17" s="1"/>
      <c r="J17" s="1"/>
      <c r="K17" s="1"/>
      <c r="L17" s="1"/>
    </row>
    <row r="18" spans="1:12" ht="15.6">
      <c r="A18" s="1" t="s">
        <v>13</v>
      </c>
      <c r="B18" s="1" t="s">
        <v>77</v>
      </c>
      <c r="C18" s="1" t="s">
        <v>164</v>
      </c>
      <c r="D18" s="1" t="s">
        <v>8</v>
      </c>
      <c r="E18" s="6" t="s">
        <v>5</v>
      </c>
      <c r="F18" s="1">
        <v>250</v>
      </c>
      <c r="G18" s="1"/>
      <c r="H18" s="1"/>
      <c r="I18" s="1"/>
      <c r="J18" s="1"/>
      <c r="K18" s="1"/>
      <c r="L18" s="1"/>
    </row>
    <row r="19" spans="1:12" ht="15.6">
      <c r="A19" s="1" t="s">
        <v>13</v>
      </c>
      <c r="B19" s="1" t="s">
        <v>38</v>
      </c>
      <c r="C19" s="1" t="s">
        <v>166</v>
      </c>
      <c r="D19" s="1" t="s">
        <v>8</v>
      </c>
      <c r="E19" s="6" t="s">
        <v>5</v>
      </c>
      <c r="F19" s="1">
        <v>502</v>
      </c>
      <c r="G19" s="1"/>
      <c r="H19" s="1"/>
      <c r="I19" s="1"/>
      <c r="J19" s="1"/>
      <c r="K19" s="1"/>
      <c r="L19" s="1"/>
    </row>
    <row r="20" spans="1:12" ht="15.6">
      <c r="A20" s="1" t="s">
        <v>13</v>
      </c>
      <c r="B20" s="1" t="s">
        <v>165</v>
      </c>
      <c r="C20" s="1" t="s">
        <v>167</v>
      </c>
      <c r="D20" s="1" t="s">
        <v>8</v>
      </c>
      <c r="E20" s="6" t="s">
        <v>5</v>
      </c>
      <c r="F20" s="1">
        <v>124</v>
      </c>
      <c r="G20" s="1"/>
      <c r="H20" s="1"/>
      <c r="I20" s="1"/>
      <c r="J20" s="1"/>
      <c r="K20" s="1" t="s">
        <v>367</v>
      </c>
      <c r="L20" s="1"/>
    </row>
    <row r="21" spans="1:12" ht="15.6">
      <c r="A21" s="1" t="s">
        <v>13</v>
      </c>
      <c r="B21" s="1" t="s">
        <v>165</v>
      </c>
      <c r="C21" s="1" t="s">
        <v>168</v>
      </c>
      <c r="D21" s="1" t="s">
        <v>8</v>
      </c>
      <c r="E21" s="6" t="s">
        <v>5</v>
      </c>
      <c r="F21" s="1">
        <v>45</v>
      </c>
      <c r="G21" s="1"/>
      <c r="H21" s="1"/>
      <c r="I21" s="1"/>
      <c r="J21" s="1"/>
      <c r="K21" s="1" t="s">
        <v>366</v>
      </c>
      <c r="L21" s="1"/>
    </row>
    <row r="22" spans="1:12" ht="15.6">
      <c r="A22" s="1" t="s">
        <v>13</v>
      </c>
      <c r="B22" s="1" t="s">
        <v>91</v>
      </c>
      <c r="C22" s="1" t="s">
        <v>169</v>
      </c>
      <c r="D22" s="1" t="s">
        <v>8</v>
      </c>
      <c r="E22" s="6" t="s">
        <v>5</v>
      </c>
      <c r="F22" s="1">
        <v>62</v>
      </c>
      <c r="G22" s="1"/>
      <c r="H22" s="1"/>
      <c r="I22" s="1"/>
      <c r="J22" s="1"/>
      <c r="K22" s="1"/>
      <c r="L22" s="1"/>
    </row>
    <row r="23" spans="1:12" ht="15.6">
      <c r="A23" s="1" t="s">
        <v>13</v>
      </c>
      <c r="B23" s="1" t="s">
        <v>170</v>
      </c>
      <c r="C23" s="1" t="s">
        <v>171</v>
      </c>
      <c r="D23" s="1" t="s">
        <v>8</v>
      </c>
      <c r="E23" s="6" t="s">
        <v>5</v>
      </c>
      <c r="F23" s="1">
        <v>87</v>
      </c>
      <c r="G23" s="1"/>
      <c r="H23" s="1"/>
      <c r="I23" s="1"/>
      <c r="J23" s="1"/>
      <c r="K23" s="1"/>
      <c r="L23" s="1"/>
    </row>
    <row r="24" spans="1:12" ht="15.6">
      <c r="A24" s="1" t="s">
        <v>14</v>
      </c>
      <c r="B24" s="1" t="s">
        <v>77</v>
      </c>
      <c r="C24" s="1" t="s">
        <v>172</v>
      </c>
      <c r="D24" s="1" t="s">
        <v>8</v>
      </c>
      <c r="E24" s="6" t="s">
        <v>5</v>
      </c>
      <c r="F24" s="1">
        <v>45</v>
      </c>
      <c r="G24" s="1"/>
      <c r="H24" s="1"/>
      <c r="I24" s="1"/>
      <c r="J24" s="1"/>
      <c r="K24" s="1"/>
    </row>
    <row r="25" spans="1:12" ht="15.6">
      <c r="A25" s="1" t="s">
        <v>14</v>
      </c>
      <c r="B25" s="1" t="s">
        <v>77</v>
      </c>
      <c r="C25" s="1" t="s">
        <v>173</v>
      </c>
      <c r="D25" s="1" t="s">
        <v>8</v>
      </c>
      <c r="E25" s="6" t="s">
        <v>5</v>
      </c>
      <c r="F25" s="1">
        <v>69</v>
      </c>
      <c r="G25" s="1"/>
      <c r="H25" s="1"/>
      <c r="I25" s="1"/>
      <c r="J25" s="1"/>
      <c r="K25" s="1"/>
    </row>
    <row r="26" spans="1:12" ht="15.6">
      <c r="A26" s="1" t="s">
        <v>13</v>
      </c>
      <c r="B26" s="1" t="s">
        <v>75</v>
      </c>
      <c r="C26" s="1" t="s">
        <v>88</v>
      </c>
      <c r="D26" s="1" t="s">
        <v>8</v>
      </c>
      <c r="E26" s="6" t="s">
        <v>5</v>
      </c>
      <c r="F26" s="1">
        <v>61</v>
      </c>
      <c r="G26" s="1"/>
      <c r="H26" s="1"/>
      <c r="I26" s="1"/>
      <c r="J26" s="1"/>
      <c r="K26" s="1"/>
    </row>
    <row r="27" spans="1:12" ht="15.6">
      <c r="A27" s="1" t="s">
        <v>13</v>
      </c>
      <c r="B27" s="1" t="s">
        <v>75</v>
      </c>
      <c r="C27" s="1" t="s">
        <v>174</v>
      </c>
      <c r="D27" s="1" t="s">
        <v>8</v>
      </c>
      <c r="E27" s="6" t="s">
        <v>5</v>
      </c>
      <c r="F27" s="1">
        <v>56</v>
      </c>
      <c r="G27" s="1"/>
      <c r="H27" s="1"/>
      <c r="I27" s="1"/>
      <c r="J27" s="1"/>
      <c r="K27" s="1"/>
    </row>
    <row r="28" spans="1:12" ht="15.6">
      <c r="A28" s="1" t="s">
        <v>13</v>
      </c>
      <c r="B28" s="1" t="s">
        <v>175</v>
      </c>
      <c r="C28" s="1" t="s">
        <v>176</v>
      </c>
      <c r="D28" s="1" t="s">
        <v>8</v>
      </c>
      <c r="E28" s="6" t="s">
        <v>5</v>
      </c>
      <c r="F28" s="1">
        <v>61</v>
      </c>
      <c r="G28" s="1"/>
      <c r="H28" s="1"/>
      <c r="I28" s="1"/>
      <c r="J28" s="1"/>
      <c r="K28" s="1"/>
    </row>
    <row r="29" spans="1:12" ht="15.6">
      <c r="A29" s="1" t="s">
        <v>13</v>
      </c>
      <c r="B29" s="1" t="s">
        <v>175</v>
      </c>
      <c r="C29" s="1" t="s">
        <v>177</v>
      </c>
      <c r="D29" s="1" t="s">
        <v>8</v>
      </c>
      <c r="E29" s="6" t="s">
        <v>5</v>
      </c>
      <c r="F29" s="1">
        <v>67</v>
      </c>
      <c r="G29" s="1"/>
      <c r="H29" s="1"/>
      <c r="I29" s="1"/>
      <c r="J29" s="1"/>
      <c r="K29" s="1"/>
    </row>
    <row r="30" spans="1:12" ht="15.6">
      <c r="A30" s="1" t="s">
        <v>13</v>
      </c>
      <c r="B30" s="1" t="s">
        <v>175</v>
      </c>
      <c r="C30" s="1" t="s">
        <v>112</v>
      </c>
      <c r="D30" s="1" t="s">
        <v>8</v>
      </c>
      <c r="E30" s="6" t="s">
        <v>5</v>
      </c>
      <c r="F30" s="1">
        <v>78</v>
      </c>
      <c r="G30" s="1"/>
      <c r="H30" s="1"/>
      <c r="I30" s="1"/>
      <c r="J30" s="1"/>
      <c r="K30" s="1"/>
    </row>
    <row r="31" spans="1:12" ht="15.6">
      <c r="A31" s="1" t="s">
        <v>13</v>
      </c>
      <c r="B31" s="1" t="s">
        <v>178</v>
      </c>
      <c r="C31" s="1" t="s">
        <v>179</v>
      </c>
      <c r="D31" s="1" t="s">
        <v>8</v>
      </c>
      <c r="E31" s="6" t="s">
        <v>5</v>
      </c>
      <c r="F31" s="1">
        <v>201</v>
      </c>
      <c r="G31" s="1"/>
      <c r="H31" s="1"/>
      <c r="I31" s="1"/>
      <c r="J31" s="1"/>
      <c r="K31" s="1"/>
    </row>
    <row r="32" spans="1:12" ht="15.6">
      <c r="A32" s="1" t="s">
        <v>13</v>
      </c>
      <c r="B32" s="1" t="s">
        <v>77</v>
      </c>
      <c r="C32" s="1" t="s">
        <v>180</v>
      </c>
      <c r="D32" s="1" t="s">
        <v>8</v>
      </c>
      <c r="E32" s="6" t="s">
        <v>5</v>
      </c>
      <c r="F32" s="1">
        <v>100</v>
      </c>
      <c r="G32" s="1"/>
      <c r="H32" s="1"/>
      <c r="I32" s="1"/>
      <c r="J32" s="1"/>
      <c r="K32" s="1"/>
    </row>
    <row r="33" spans="1:12" ht="15.6">
      <c r="A33" s="1" t="s">
        <v>13</v>
      </c>
      <c r="B33" s="1" t="s">
        <v>100</v>
      </c>
      <c r="C33" s="1" t="s">
        <v>34</v>
      </c>
      <c r="D33" s="1" t="s">
        <v>8</v>
      </c>
      <c r="E33" s="6" t="s">
        <v>5</v>
      </c>
      <c r="F33" s="1">
        <v>227</v>
      </c>
      <c r="G33" s="1"/>
      <c r="H33" s="1"/>
      <c r="I33" s="1"/>
      <c r="J33" s="1"/>
      <c r="K33" s="1" t="s">
        <v>183</v>
      </c>
    </row>
    <row r="34" spans="1:12" ht="15.6">
      <c r="A34" s="1" t="s">
        <v>13</v>
      </c>
      <c r="B34" s="1" t="s">
        <v>40</v>
      </c>
      <c r="C34" s="1" t="s">
        <v>181</v>
      </c>
      <c r="D34" s="1" t="s">
        <v>8</v>
      </c>
      <c r="E34" s="6" t="s">
        <v>5</v>
      </c>
      <c r="F34" s="1">
        <v>238</v>
      </c>
      <c r="G34" s="1"/>
      <c r="H34" s="1"/>
      <c r="I34" s="1"/>
      <c r="J34" s="1"/>
      <c r="K34" s="1"/>
    </row>
    <row r="35" spans="1:12" ht="15.6">
      <c r="A35" s="1" t="s">
        <v>13</v>
      </c>
      <c r="B35" s="1" t="s">
        <v>90</v>
      </c>
      <c r="C35" s="1" t="s">
        <v>182</v>
      </c>
      <c r="D35" s="1" t="s">
        <v>8</v>
      </c>
      <c r="E35" s="6" t="s">
        <v>5</v>
      </c>
      <c r="F35" s="1">
        <v>92</v>
      </c>
      <c r="G35" s="1"/>
      <c r="H35" s="1"/>
      <c r="I35" s="1"/>
      <c r="J35" s="1"/>
      <c r="K35" s="1"/>
    </row>
    <row r="36" spans="1:12" ht="15.6">
      <c r="A36" s="1" t="s">
        <v>13</v>
      </c>
      <c r="B36" s="1" t="s">
        <v>100</v>
      </c>
      <c r="C36" s="1" t="s">
        <v>34</v>
      </c>
      <c r="D36" s="1" t="s">
        <v>8</v>
      </c>
      <c r="E36" s="6" t="s">
        <v>5</v>
      </c>
      <c r="F36" s="1">
        <v>82</v>
      </c>
      <c r="G36" s="1"/>
      <c r="H36" s="1"/>
      <c r="I36" s="1"/>
      <c r="J36" s="1"/>
      <c r="K36" s="1" t="s">
        <v>184</v>
      </c>
    </row>
    <row r="37" spans="1:12" ht="15.6">
      <c r="A37" s="1" t="s">
        <v>13</v>
      </c>
      <c r="B37" s="1" t="s">
        <v>100</v>
      </c>
      <c r="C37" s="1" t="s">
        <v>185</v>
      </c>
      <c r="D37" s="1" t="s">
        <v>8</v>
      </c>
      <c r="E37" s="6" t="s">
        <v>5</v>
      </c>
      <c r="F37" s="1">
        <v>260</v>
      </c>
      <c r="G37" s="1"/>
      <c r="H37" s="1"/>
      <c r="I37" s="1"/>
      <c r="J37" s="1"/>
      <c r="K37" s="1" t="s">
        <v>186</v>
      </c>
    </row>
    <row r="38" spans="1:12" ht="15.6">
      <c r="A38" s="1" t="s">
        <v>13</v>
      </c>
      <c r="B38" s="1" t="s">
        <v>40</v>
      </c>
      <c r="C38" s="1" t="s">
        <v>187</v>
      </c>
      <c r="D38" s="1" t="s">
        <v>8</v>
      </c>
      <c r="E38" s="6" t="s">
        <v>5</v>
      </c>
      <c r="F38" s="1">
        <v>388</v>
      </c>
      <c r="G38" s="1"/>
      <c r="H38" s="1"/>
      <c r="I38" s="1"/>
      <c r="J38" s="1"/>
      <c r="K38" s="1" t="s">
        <v>188</v>
      </c>
    </row>
    <row r="39" spans="1:12" ht="15.6">
      <c r="A39" s="1" t="s">
        <v>13</v>
      </c>
      <c r="B39" s="1" t="s">
        <v>189</v>
      </c>
      <c r="C39" s="1" t="s">
        <v>88</v>
      </c>
      <c r="D39" s="1" t="s">
        <v>8</v>
      </c>
      <c r="E39" s="6" t="s">
        <v>5</v>
      </c>
      <c r="F39" s="1">
        <v>54</v>
      </c>
      <c r="G39" s="1"/>
      <c r="H39" s="1"/>
      <c r="I39" s="1"/>
      <c r="J39" s="1"/>
      <c r="K39" s="1"/>
    </row>
    <row r="40" spans="1:12" ht="15.6">
      <c r="A40" s="1" t="s">
        <v>13</v>
      </c>
      <c r="B40" s="1" t="s">
        <v>75</v>
      </c>
      <c r="C40" s="1" t="s">
        <v>190</v>
      </c>
      <c r="D40" s="1" t="s">
        <v>8</v>
      </c>
      <c r="E40" s="6" t="s">
        <v>5</v>
      </c>
      <c r="F40" s="1">
        <v>66</v>
      </c>
      <c r="G40" s="1"/>
      <c r="H40" s="1"/>
      <c r="I40" s="1"/>
      <c r="J40" s="1"/>
      <c r="K40" s="1"/>
    </row>
    <row r="41" spans="1:12" ht="15.6">
      <c r="A41" s="1" t="s">
        <v>13</v>
      </c>
      <c r="B41" s="1" t="s">
        <v>40</v>
      </c>
      <c r="C41" s="1" t="s">
        <v>191</v>
      </c>
      <c r="D41" s="1" t="s">
        <v>8</v>
      </c>
      <c r="E41" s="6" t="s">
        <v>5</v>
      </c>
      <c r="F41" s="1">
        <v>138</v>
      </c>
      <c r="G41" s="1"/>
      <c r="H41" s="1"/>
      <c r="I41" s="1"/>
      <c r="J41" s="1"/>
      <c r="K41" s="1"/>
      <c r="L41" s="6"/>
    </row>
    <row r="42" spans="1:12" ht="15.6">
      <c r="A42" s="1" t="s">
        <v>13</v>
      </c>
      <c r="B42" s="1" t="s">
        <v>40</v>
      </c>
      <c r="C42" s="1" t="s">
        <v>192</v>
      </c>
      <c r="D42" s="1" t="s">
        <v>8</v>
      </c>
      <c r="E42" s="6" t="s">
        <v>4</v>
      </c>
      <c r="F42" s="1">
        <v>138</v>
      </c>
      <c r="G42" s="1">
        <f>F42</f>
        <v>138</v>
      </c>
      <c r="H42" s="1">
        <v>175</v>
      </c>
      <c r="I42" s="1">
        <f>H42-G42</f>
        <v>37</v>
      </c>
      <c r="J42" s="12">
        <f>I42/G42</f>
        <v>0.26811594202898553</v>
      </c>
      <c r="K42" s="1"/>
      <c r="L42" s="6"/>
    </row>
    <row r="43" spans="1:12" ht="15.6">
      <c r="A43" s="1" t="s">
        <v>193</v>
      </c>
      <c r="B43" s="1" t="s">
        <v>195</v>
      </c>
      <c r="C43" s="1" t="s">
        <v>194</v>
      </c>
      <c r="D43" s="1" t="s">
        <v>8</v>
      </c>
      <c r="E43" s="6" t="s">
        <v>5</v>
      </c>
      <c r="F43" s="1">
        <v>359</v>
      </c>
      <c r="G43" s="1"/>
      <c r="H43" s="1"/>
      <c r="I43" s="1"/>
      <c r="J43" s="1"/>
      <c r="K43" s="1"/>
      <c r="L43" s="6"/>
    </row>
    <row r="44" spans="1:12" ht="15.6">
      <c r="A44" s="1" t="s">
        <v>196</v>
      </c>
      <c r="B44" s="1" t="s">
        <v>261</v>
      </c>
      <c r="C44" s="1" t="s">
        <v>197</v>
      </c>
      <c r="D44" s="1" t="s">
        <v>8</v>
      </c>
      <c r="E44" s="6" t="s">
        <v>5</v>
      </c>
      <c r="F44" s="1">
        <v>132</v>
      </c>
      <c r="G44" s="1"/>
      <c r="H44" s="1"/>
      <c r="I44" s="1"/>
      <c r="J44" s="1"/>
      <c r="K44" s="1"/>
      <c r="L44" s="6"/>
    </row>
    <row r="45" spans="1:12" ht="15.6">
      <c r="A45" s="1" t="s">
        <v>13</v>
      </c>
      <c r="B45" s="1" t="s">
        <v>38</v>
      </c>
      <c r="C45" s="1" t="s">
        <v>198</v>
      </c>
      <c r="D45" s="1" t="s">
        <v>8</v>
      </c>
      <c r="E45" s="6" t="s">
        <v>5</v>
      </c>
      <c r="F45" s="1">
        <v>185</v>
      </c>
      <c r="G45" s="1"/>
      <c r="H45" s="1"/>
      <c r="I45" s="1"/>
      <c r="J45" s="1"/>
      <c r="K45" s="1"/>
      <c r="L45" s="6"/>
    </row>
    <row r="46" spans="1:12" ht="15.6">
      <c r="A46" s="1" t="s">
        <v>13</v>
      </c>
      <c r="B46" s="1" t="s">
        <v>38</v>
      </c>
      <c r="C46" s="1" t="s">
        <v>182</v>
      </c>
      <c r="D46" s="1" t="s">
        <v>8</v>
      </c>
      <c r="E46" s="6" t="s">
        <v>5</v>
      </c>
      <c r="F46" s="1">
        <v>233</v>
      </c>
      <c r="G46" s="1"/>
      <c r="H46" s="1"/>
      <c r="I46" s="1"/>
      <c r="J46" s="1"/>
      <c r="K46" s="1"/>
      <c r="L46" s="6"/>
    </row>
    <row r="47" spans="1:12" ht="15.6">
      <c r="A47" s="1" t="s">
        <v>13</v>
      </c>
      <c r="B47" s="1" t="s">
        <v>38</v>
      </c>
      <c r="C47" s="1" t="s">
        <v>34</v>
      </c>
      <c r="D47" s="1" t="s">
        <v>8</v>
      </c>
      <c r="E47" s="6" t="s">
        <v>5</v>
      </c>
      <c r="F47" s="1">
        <v>233</v>
      </c>
      <c r="G47" s="1"/>
      <c r="H47" s="1"/>
      <c r="I47" s="1"/>
      <c r="J47" s="1"/>
      <c r="K47" s="1"/>
      <c r="L47" s="6"/>
    </row>
    <row r="48" spans="1:12" ht="15.6">
      <c r="A48" s="1" t="s">
        <v>13</v>
      </c>
      <c r="B48" s="1" t="s">
        <v>38</v>
      </c>
      <c r="C48" s="1" t="s">
        <v>205</v>
      </c>
      <c r="D48" s="1" t="s">
        <v>8</v>
      </c>
      <c r="E48" s="6" t="s">
        <v>5</v>
      </c>
      <c r="F48" s="1">
        <v>636</v>
      </c>
      <c r="G48" s="1"/>
      <c r="H48" s="1"/>
      <c r="I48" s="1"/>
      <c r="J48" s="1"/>
      <c r="K48" s="1"/>
      <c r="L48" s="6"/>
    </row>
    <row r="49" spans="1:12" ht="15.6">
      <c r="A49" s="1" t="s">
        <v>13</v>
      </c>
      <c r="B49" s="1" t="s">
        <v>38</v>
      </c>
      <c r="C49" s="1" t="s">
        <v>206</v>
      </c>
      <c r="D49" s="1" t="s">
        <v>8</v>
      </c>
      <c r="E49" s="6" t="s">
        <v>5</v>
      </c>
      <c r="F49" s="1">
        <v>593</v>
      </c>
      <c r="G49" s="1"/>
      <c r="H49" s="1"/>
      <c r="I49" s="1"/>
      <c r="J49" s="1"/>
      <c r="K49" s="1"/>
      <c r="L49" s="6"/>
    </row>
    <row r="50" spans="1:12" ht="15.6">
      <c r="A50" s="1" t="s">
        <v>13</v>
      </c>
      <c r="B50" s="1" t="s">
        <v>38</v>
      </c>
      <c r="C50" s="1" t="s">
        <v>199</v>
      </c>
      <c r="D50" s="1" t="s">
        <v>8</v>
      </c>
      <c r="E50" s="6" t="s">
        <v>5</v>
      </c>
      <c r="F50" s="1">
        <v>202</v>
      </c>
      <c r="G50" s="1"/>
      <c r="H50" s="1"/>
      <c r="I50" s="1"/>
      <c r="J50" s="1"/>
      <c r="K50" s="1" t="s">
        <v>200</v>
      </c>
      <c r="L50" s="6"/>
    </row>
    <row r="51" spans="1:12" ht="15.6">
      <c r="A51" s="1" t="s">
        <v>13</v>
      </c>
      <c r="B51" s="1" t="s">
        <v>38</v>
      </c>
      <c r="C51" s="1" t="s">
        <v>201</v>
      </c>
      <c r="D51" s="1" t="s">
        <v>8</v>
      </c>
      <c r="E51" s="6" t="s">
        <v>5</v>
      </c>
      <c r="F51" s="1">
        <v>360</v>
      </c>
      <c r="G51" s="1"/>
      <c r="H51" s="1"/>
      <c r="I51" s="1"/>
      <c r="J51" s="1"/>
      <c r="K51" s="1" t="s">
        <v>202</v>
      </c>
      <c r="L51" s="6"/>
    </row>
    <row r="52" spans="1:12" ht="15.6">
      <c r="A52" s="1" t="s">
        <v>13</v>
      </c>
      <c r="B52" s="1" t="s">
        <v>38</v>
      </c>
      <c r="C52" s="1" t="s">
        <v>203</v>
      </c>
      <c r="D52" s="1" t="s">
        <v>8</v>
      </c>
      <c r="E52" s="6" t="s">
        <v>5</v>
      </c>
      <c r="F52" s="1">
        <v>185</v>
      </c>
      <c r="G52" s="1"/>
      <c r="H52" s="1"/>
      <c r="I52" s="1"/>
      <c r="J52" s="1"/>
      <c r="K52" s="1" t="s">
        <v>202</v>
      </c>
      <c r="L52" s="6"/>
    </row>
    <row r="53" spans="1:12" ht="15.6">
      <c r="A53" s="1" t="s">
        <v>13</v>
      </c>
      <c r="B53" s="1" t="s">
        <v>38</v>
      </c>
      <c r="C53" s="1" t="s">
        <v>204</v>
      </c>
      <c r="D53" s="1" t="s">
        <v>8</v>
      </c>
      <c r="E53" s="6" t="s">
        <v>5</v>
      </c>
      <c r="F53" s="1">
        <v>214</v>
      </c>
      <c r="G53" s="1"/>
      <c r="H53" s="1"/>
      <c r="I53" s="1"/>
      <c r="J53" s="1"/>
      <c r="K53" s="1"/>
      <c r="L53" s="6"/>
    </row>
    <row r="54" spans="1:12" ht="15.6">
      <c r="A54" s="1" t="s">
        <v>13</v>
      </c>
      <c r="B54" s="1" t="s">
        <v>38</v>
      </c>
      <c r="C54" s="1" t="s">
        <v>207</v>
      </c>
      <c r="D54" s="1" t="s">
        <v>8</v>
      </c>
      <c r="E54" s="6" t="s">
        <v>5</v>
      </c>
      <c r="F54" s="1">
        <v>358</v>
      </c>
      <c r="G54" s="1"/>
      <c r="H54" s="1"/>
      <c r="I54" s="1"/>
      <c r="J54" s="1"/>
      <c r="K54" s="1"/>
      <c r="L54" s="6"/>
    </row>
    <row r="55" spans="1:12" ht="15.6">
      <c r="A55" s="1" t="s">
        <v>13</v>
      </c>
      <c r="B55" s="1" t="s">
        <v>38</v>
      </c>
      <c r="C55" s="1" t="s">
        <v>208</v>
      </c>
      <c r="D55" s="1" t="s">
        <v>8</v>
      </c>
      <c r="E55" s="6" t="s">
        <v>5</v>
      </c>
      <c r="F55" s="1">
        <v>328</v>
      </c>
      <c r="G55" s="1"/>
      <c r="H55" s="1"/>
      <c r="I55" s="1"/>
      <c r="J55" s="1"/>
      <c r="K55" s="1" t="s">
        <v>200</v>
      </c>
      <c r="L55" s="6"/>
    </row>
    <row r="56" spans="1:12" ht="15.6">
      <c r="A56" s="1" t="s">
        <v>13</v>
      </c>
      <c r="B56" s="1" t="s">
        <v>38</v>
      </c>
      <c r="C56" s="1" t="s">
        <v>209</v>
      </c>
      <c r="D56" s="1" t="s">
        <v>8</v>
      </c>
      <c r="E56" s="6" t="s">
        <v>5</v>
      </c>
      <c r="F56" s="1">
        <v>358</v>
      </c>
      <c r="G56" s="1"/>
      <c r="H56" s="1"/>
      <c r="I56" s="1"/>
      <c r="J56" s="1"/>
      <c r="K56" s="1"/>
      <c r="L56" s="6"/>
    </row>
    <row r="57" spans="1:12" ht="15.6">
      <c r="A57" s="1" t="s">
        <v>13</v>
      </c>
      <c r="B57" s="1" t="s">
        <v>38</v>
      </c>
      <c r="C57" s="1" t="s">
        <v>210</v>
      </c>
      <c r="D57" s="1" t="s">
        <v>8</v>
      </c>
      <c r="E57" s="6" t="s">
        <v>5</v>
      </c>
      <c r="F57" s="1">
        <v>366</v>
      </c>
      <c r="G57" s="1"/>
      <c r="H57" s="1"/>
      <c r="I57" s="1"/>
      <c r="J57" s="1"/>
      <c r="K57" s="1"/>
      <c r="L57" s="6"/>
    </row>
    <row r="58" spans="1:12" ht="15.6">
      <c r="A58" s="1" t="s">
        <v>13</v>
      </c>
      <c r="B58" s="1" t="s">
        <v>38</v>
      </c>
      <c r="C58" s="1" t="s">
        <v>212</v>
      </c>
      <c r="D58" s="1" t="s">
        <v>8</v>
      </c>
      <c r="E58" s="6" t="s">
        <v>5</v>
      </c>
      <c r="F58" s="1">
        <v>285</v>
      </c>
      <c r="G58" s="1"/>
      <c r="H58" s="1"/>
      <c r="I58" s="1"/>
      <c r="J58" s="1"/>
      <c r="K58" s="1"/>
      <c r="L58" s="6"/>
    </row>
    <row r="59" spans="1:12" ht="15.6">
      <c r="A59" s="1" t="s">
        <v>13</v>
      </c>
      <c r="B59" s="1" t="s">
        <v>92</v>
      </c>
      <c r="C59" s="1" t="s">
        <v>211</v>
      </c>
      <c r="D59" s="1" t="s">
        <v>8</v>
      </c>
      <c r="E59" s="6" t="s">
        <v>5</v>
      </c>
      <c r="F59" s="1">
        <v>196</v>
      </c>
      <c r="G59" s="1"/>
      <c r="H59" s="1"/>
      <c r="I59" s="1"/>
      <c r="J59" s="1"/>
      <c r="K59" s="1"/>
      <c r="L59" s="6"/>
    </row>
    <row r="60" spans="1:12" ht="15.6">
      <c r="A60" s="1" t="s">
        <v>13</v>
      </c>
      <c r="B60" s="1" t="s">
        <v>38</v>
      </c>
      <c r="C60" s="1" t="s">
        <v>213</v>
      </c>
      <c r="D60" s="1" t="s">
        <v>8</v>
      </c>
      <c r="E60" s="6" t="s">
        <v>5</v>
      </c>
      <c r="F60" s="1">
        <v>351</v>
      </c>
      <c r="G60" s="1"/>
      <c r="H60" s="1"/>
      <c r="I60" s="1"/>
      <c r="J60" s="1"/>
      <c r="K60" s="1"/>
      <c r="L60" s="6"/>
    </row>
    <row r="61" spans="1:12" ht="15.6">
      <c r="A61" s="1" t="s">
        <v>13</v>
      </c>
      <c r="B61" s="1" t="s">
        <v>38</v>
      </c>
      <c r="C61" s="1" t="s">
        <v>214</v>
      </c>
      <c r="D61" s="1" t="s">
        <v>8</v>
      </c>
      <c r="E61" s="6" t="s">
        <v>5</v>
      </c>
      <c r="F61" s="1">
        <v>389</v>
      </c>
      <c r="G61" s="1"/>
      <c r="H61" s="1"/>
      <c r="I61" s="1"/>
      <c r="J61" s="1"/>
      <c r="K61" s="1"/>
      <c r="L61" s="6"/>
    </row>
    <row r="62" spans="1:12" ht="15.6">
      <c r="A62" s="1" t="s">
        <v>13</v>
      </c>
      <c r="B62" s="1" t="s">
        <v>38</v>
      </c>
      <c r="C62" s="1" t="s">
        <v>215</v>
      </c>
      <c r="D62" s="1" t="s">
        <v>8</v>
      </c>
      <c r="E62" s="6" t="s">
        <v>5</v>
      </c>
      <c r="F62" s="1">
        <v>475</v>
      </c>
      <c r="G62" s="1"/>
      <c r="H62" s="1"/>
      <c r="I62" s="1"/>
      <c r="J62" s="1"/>
      <c r="K62" s="1"/>
      <c r="L62" s="6"/>
    </row>
    <row r="63" spans="1:12" ht="15.6">
      <c r="A63" s="1" t="s">
        <v>13</v>
      </c>
      <c r="B63" s="1" t="s">
        <v>40</v>
      </c>
      <c r="C63" s="1" t="s">
        <v>192</v>
      </c>
      <c r="D63" s="1" t="s">
        <v>8</v>
      </c>
      <c r="E63" s="6" t="s">
        <v>5</v>
      </c>
      <c r="F63" s="1">
        <v>180</v>
      </c>
      <c r="G63" s="1"/>
      <c r="H63" s="1"/>
      <c r="I63" s="1"/>
      <c r="J63" s="1"/>
      <c r="K63" s="1"/>
      <c r="L63" s="6"/>
    </row>
    <row r="64" spans="1:12" ht="15.6">
      <c r="A64" s="1" t="s">
        <v>13</v>
      </c>
      <c r="B64" s="1" t="s">
        <v>95</v>
      </c>
      <c r="C64" s="1" t="s">
        <v>62</v>
      </c>
      <c r="D64" s="1" t="s">
        <v>8</v>
      </c>
      <c r="E64" s="6" t="s">
        <v>5</v>
      </c>
      <c r="F64" s="1">
        <v>83</v>
      </c>
      <c r="G64" s="1"/>
      <c r="H64" s="1"/>
      <c r="I64" s="1"/>
      <c r="J64" s="1"/>
      <c r="K64" s="1"/>
      <c r="L64" s="6"/>
    </row>
    <row r="65" spans="1:14" ht="15.6">
      <c r="A65" s="1" t="s">
        <v>13</v>
      </c>
      <c r="B65" s="1" t="s">
        <v>40</v>
      </c>
      <c r="C65" s="1" t="s">
        <v>216</v>
      </c>
      <c r="D65" s="1" t="s">
        <v>8</v>
      </c>
      <c r="E65" s="6" t="s">
        <v>5</v>
      </c>
      <c r="F65" s="1">
        <v>137</v>
      </c>
      <c r="G65" s="1"/>
      <c r="H65" s="1"/>
      <c r="I65" s="1"/>
      <c r="J65" s="1"/>
      <c r="K65" s="1"/>
      <c r="L65" s="6"/>
    </row>
    <row r="66" spans="1:14" ht="15.6">
      <c r="A66" s="1" t="s">
        <v>13</v>
      </c>
      <c r="B66" s="1" t="s">
        <v>77</v>
      </c>
      <c r="C66" s="1" t="s">
        <v>217</v>
      </c>
      <c r="D66" s="1" t="s">
        <v>8</v>
      </c>
      <c r="E66" s="6" t="s">
        <v>5</v>
      </c>
      <c r="F66" s="1">
        <v>136</v>
      </c>
      <c r="G66" s="1"/>
      <c r="H66" s="1"/>
      <c r="I66" s="1"/>
      <c r="J66" s="1"/>
      <c r="K66" s="1"/>
      <c r="L66" s="6"/>
    </row>
    <row r="67" spans="1:14" ht="15.6">
      <c r="A67" s="1" t="s">
        <v>13</v>
      </c>
      <c r="B67" s="1" t="s">
        <v>75</v>
      </c>
      <c r="C67" s="1" t="s">
        <v>1156</v>
      </c>
      <c r="D67" s="1" t="s">
        <v>8</v>
      </c>
      <c r="E67" s="6" t="s">
        <v>5</v>
      </c>
      <c r="F67" s="1">
        <v>64</v>
      </c>
      <c r="G67" s="1"/>
      <c r="H67" s="1"/>
      <c r="I67" s="1"/>
      <c r="J67" s="1"/>
      <c r="K67" s="1"/>
      <c r="L67" s="6"/>
    </row>
    <row r="68" spans="1:14" ht="15.6">
      <c r="A68" s="1" t="s">
        <v>13</v>
      </c>
      <c r="B68" s="1" t="s">
        <v>75</v>
      </c>
      <c r="C68" s="1" t="s">
        <v>218</v>
      </c>
      <c r="D68" s="1" t="s">
        <v>8</v>
      </c>
      <c r="E68" s="6" t="s">
        <v>5</v>
      </c>
      <c r="F68" s="1">
        <v>70</v>
      </c>
      <c r="G68" s="1"/>
      <c r="H68" s="1"/>
      <c r="I68" s="1"/>
      <c r="J68" s="1"/>
      <c r="K68" s="1"/>
      <c r="L68" s="6"/>
    </row>
    <row r="69" spans="1:14" ht="15.6">
      <c r="A69" s="1" t="s">
        <v>13</v>
      </c>
      <c r="B69" s="1" t="s">
        <v>75</v>
      </c>
      <c r="C69" s="1" t="s">
        <v>176</v>
      </c>
      <c r="D69" s="1" t="s">
        <v>8</v>
      </c>
      <c r="E69" s="6" t="s">
        <v>5</v>
      </c>
      <c r="F69" s="1">
        <v>53</v>
      </c>
      <c r="G69" s="1"/>
      <c r="H69" s="1"/>
      <c r="I69" s="1"/>
      <c r="J69" s="1"/>
      <c r="K69" s="1"/>
      <c r="L69" s="6"/>
    </row>
    <row r="70" spans="1:14" ht="15.6">
      <c r="A70" s="1" t="s">
        <v>13</v>
      </c>
      <c r="B70" s="1" t="s">
        <v>75</v>
      </c>
      <c r="C70" s="1" t="s">
        <v>62</v>
      </c>
      <c r="D70" s="1" t="s">
        <v>8</v>
      </c>
      <c r="E70" s="6" t="s">
        <v>5</v>
      </c>
      <c r="F70" s="1">
        <v>155</v>
      </c>
      <c r="G70" s="1"/>
      <c r="H70" s="1"/>
      <c r="I70" s="1"/>
      <c r="J70" s="1"/>
      <c r="K70" s="1"/>
      <c r="L70" s="6"/>
    </row>
    <row r="71" spans="1:14" ht="15.6">
      <c r="A71" s="1" t="s">
        <v>13</v>
      </c>
      <c r="B71" s="1" t="s">
        <v>165</v>
      </c>
      <c r="C71" s="1" t="s">
        <v>219</v>
      </c>
      <c r="D71" s="1" t="s">
        <v>8</v>
      </c>
      <c r="E71" s="6" t="s">
        <v>5</v>
      </c>
      <c r="F71" s="1">
        <v>44</v>
      </c>
      <c r="G71" s="1"/>
      <c r="H71" s="1"/>
      <c r="I71" s="1"/>
      <c r="J71" s="1"/>
      <c r="K71" s="1" t="s">
        <v>366</v>
      </c>
      <c r="L71" s="6"/>
    </row>
    <row r="72" spans="1:14" ht="15.6">
      <c r="A72" s="1" t="s">
        <v>13</v>
      </c>
      <c r="B72" s="1" t="s">
        <v>38</v>
      </c>
      <c r="C72" s="1" t="s">
        <v>1158</v>
      </c>
      <c r="D72" s="1" t="s">
        <v>8</v>
      </c>
      <c r="E72" s="6" t="s">
        <v>116</v>
      </c>
      <c r="F72" s="1">
        <v>175</v>
      </c>
      <c r="G72" s="1">
        <v>175</v>
      </c>
      <c r="H72" s="1">
        <v>190</v>
      </c>
      <c r="I72" s="1">
        <f>H72-G72</f>
        <v>15</v>
      </c>
      <c r="J72" s="12">
        <f>I72/G72</f>
        <v>8.5714285714285715E-2</v>
      </c>
      <c r="K72" s="1" t="s">
        <v>391</v>
      </c>
      <c r="L72" s="6"/>
    </row>
    <row r="73" spans="1:14" ht="15.6">
      <c r="A73" s="1" t="s">
        <v>13</v>
      </c>
      <c r="B73" s="1" t="s">
        <v>75</v>
      </c>
      <c r="C73" s="1" t="s">
        <v>198</v>
      </c>
      <c r="D73" s="1" t="s">
        <v>8</v>
      </c>
      <c r="E73" s="6" t="s">
        <v>5</v>
      </c>
      <c r="F73" s="1">
        <v>65</v>
      </c>
      <c r="G73" s="1"/>
      <c r="H73" s="1"/>
      <c r="I73" s="1"/>
      <c r="J73" s="12"/>
      <c r="K73" s="1"/>
      <c r="L73" s="6"/>
    </row>
    <row r="74" spans="1:14" ht="15.6">
      <c r="A74" s="1" t="s">
        <v>13</v>
      </c>
      <c r="B74" s="1" t="s">
        <v>405</v>
      </c>
      <c r="C74" s="1" t="s">
        <v>220</v>
      </c>
      <c r="D74" s="1" t="s">
        <v>8</v>
      </c>
      <c r="E74" s="6" t="s">
        <v>5</v>
      </c>
      <c r="F74" s="1">
        <v>850</v>
      </c>
      <c r="G74" s="1"/>
      <c r="H74" s="1"/>
      <c r="I74" s="1"/>
      <c r="J74" s="12"/>
      <c r="K74" s="1"/>
      <c r="L74" s="6"/>
    </row>
    <row r="75" spans="1:14" ht="15.6">
      <c r="A75" s="1" t="s">
        <v>13</v>
      </c>
      <c r="B75" s="1" t="s">
        <v>38</v>
      </c>
      <c r="C75" s="1" t="s">
        <v>290</v>
      </c>
      <c r="D75" s="1" t="s">
        <v>8</v>
      </c>
      <c r="E75" s="6" t="s">
        <v>5</v>
      </c>
      <c r="F75" s="1">
        <v>116</v>
      </c>
      <c r="G75" s="1"/>
      <c r="H75" s="1"/>
      <c r="I75" s="1"/>
      <c r="J75" s="12"/>
      <c r="K75" s="1"/>
      <c r="L75" s="6"/>
    </row>
    <row r="76" spans="1:14" ht="15.6">
      <c r="A76" s="1" t="s">
        <v>13</v>
      </c>
      <c r="B76" s="1" t="s">
        <v>243</v>
      </c>
      <c r="C76" s="1" t="s">
        <v>62</v>
      </c>
      <c r="D76" s="1" t="s">
        <v>8</v>
      </c>
      <c r="E76" s="6" t="s">
        <v>5</v>
      </c>
      <c r="F76" s="1">
        <v>82</v>
      </c>
      <c r="G76" s="1"/>
      <c r="H76" s="1"/>
      <c r="I76" s="1"/>
      <c r="J76" s="12"/>
      <c r="K76" s="1"/>
      <c r="L76" s="6"/>
    </row>
    <row r="77" spans="1:14" ht="15.6">
      <c r="A77" s="1" t="s">
        <v>13</v>
      </c>
      <c r="B77" s="1" t="s">
        <v>379</v>
      </c>
      <c r="C77" s="1" t="s">
        <v>380</v>
      </c>
      <c r="D77" s="1" t="s">
        <v>8</v>
      </c>
      <c r="E77" s="6" t="s">
        <v>5</v>
      </c>
      <c r="F77" s="1">
        <v>292</v>
      </c>
      <c r="G77" s="1"/>
      <c r="H77" s="1"/>
      <c r="I77" s="1"/>
      <c r="J77" s="12"/>
      <c r="K77" s="1"/>
      <c r="L77" s="6"/>
    </row>
    <row r="78" spans="1:14" ht="15.6">
      <c r="A78" s="1" t="s">
        <v>454</v>
      </c>
      <c r="B78" s="1" t="s">
        <v>457</v>
      </c>
      <c r="C78" s="1" t="s">
        <v>455</v>
      </c>
      <c r="D78" s="1" t="s">
        <v>8</v>
      </c>
      <c r="E78" s="6" t="s">
        <v>5</v>
      </c>
      <c r="F78" s="1">
        <v>475</v>
      </c>
      <c r="G78" s="1"/>
      <c r="H78" s="1"/>
      <c r="I78" s="1"/>
      <c r="J78" s="12"/>
      <c r="K78" s="1" t="s">
        <v>456</v>
      </c>
    </row>
    <row r="79" spans="1:14" ht="15.6">
      <c r="A79" s="1" t="s">
        <v>650</v>
      </c>
      <c r="B79" s="1" t="s">
        <v>692</v>
      </c>
      <c r="C79" s="1" t="s">
        <v>691</v>
      </c>
      <c r="D79" s="1" t="s">
        <v>8</v>
      </c>
      <c r="E79" s="6" t="s">
        <v>5</v>
      </c>
      <c r="F79" s="1">
        <v>402</v>
      </c>
      <c r="G79" s="1"/>
      <c r="H79" s="1"/>
      <c r="I79" s="1"/>
      <c r="J79" s="12"/>
      <c r="K79" s="1"/>
    </row>
    <row r="80" spans="1:14" ht="15.6">
      <c r="A80" s="1" t="s">
        <v>574</v>
      </c>
      <c r="B80" s="1" t="s">
        <v>77</v>
      </c>
      <c r="C80" s="1" t="s">
        <v>575</v>
      </c>
      <c r="D80" s="1" t="s">
        <v>8</v>
      </c>
      <c r="E80" s="6" t="s">
        <v>5</v>
      </c>
      <c r="F80" s="1">
        <v>70</v>
      </c>
      <c r="G80" s="1"/>
      <c r="H80" s="1"/>
      <c r="I80" s="1"/>
      <c r="J80" s="12"/>
      <c r="K80" s="1"/>
      <c r="L80" s="6"/>
      <c r="M80" s="6"/>
      <c r="N80" s="6"/>
    </row>
    <row r="81" spans="1:14" ht="15.6">
      <c r="A81" s="1" t="s">
        <v>574</v>
      </c>
      <c r="B81" s="1" t="s">
        <v>499</v>
      </c>
      <c r="C81" s="1" t="s">
        <v>740</v>
      </c>
      <c r="D81" s="1" t="s">
        <v>8</v>
      </c>
      <c r="E81" s="6" t="s">
        <v>5</v>
      </c>
      <c r="F81" s="1">
        <v>54</v>
      </c>
      <c r="G81" s="1"/>
      <c r="H81" s="1"/>
      <c r="I81" s="1"/>
      <c r="J81" s="12"/>
      <c r="K81" s="1" t="s">
        <v>741</v>
      </c>
    </row>
    <row r="82" spans="1:14" ht="15.6">
      <c r="A82" s="1" t="s">
        <v>574</v>
      </c>
      <c r="B82" s="1" t="s">
        <v>77</v>
      </c>
      <c r="C82" s="1" t="s">
        <v>742</v>
      </c>
      <c r="D82" s="1" t="s">
        <v>8</v>
      </c>
      <c r="E82" s="6" t="s">
        <v>319</v>
      </c>
      <c r="F82" s="1">
        <v>47</v>
      </c>
      <c r="G82" s="1"/>
      <c r="H82" s="1"/>
      <c r="I82" s="1"/>
      <c r="J82" s="12"/>
      <c r="K82" s="1"/>
    </row>
    <row r="83" spans="1:14" ht="15.6">
      <c r="A83" s="1" t="s">
        <v>574</v>
      </c>
      <c r="B83" s="1" t="s">
        <v>499</v>
      </c>
      <c r="C83" s="1" t="s">
        <v>833</v>
      </c>
      <c r="D83" s="1" t="s">
        <v>8</v>
      </c>
      <c r="E83" s="6" t="s">
        <v>319</v>
      </c>
      <c r="F83" s="1">
        <v>176</v>
      </c>
      <c r="G83" s="1"/>
      <c r="H83" s="1"/>
      <c r="I83" s="1"/>
      <c r="J83" s="12"/>
      <c r="K83" s="1"/>
    </row>
    <row r="84" spans="1:14" ht="15.6">
      <c r="A84" s="1" t="s">
        <v>580</v>
      </c>
      <c r="B84" s="1" t="s">
        <v>804</v>
      </c>
      <c r="C84" s="1" t="s">
        <v>863</v>
      </c>
      <c r="D84" s="1" t="s">
        <v>8</v>
      </c>
      <c r="E84" s="6" t="s">
        <v>319</v>
      </c>
      <c r="F84" s="1">
        <v>1225</v>
      </c>
      <c r="G84" s="1"/>
      <c r="H84" s="1"/>
      <c r="I84" s="1"/>
      <c r="J84" s="12"/>
      <c r="K84" s="1"/>
    </row>
    <row r="85" spans="1:14" ht="15.6">
      <c r="A85" s="1" t="s">
        <v>574</v>
      </c>
      <c r="B85" s="1" t="s">
        <v>499</v>
      </c>
      <c r="C85" s="1" t="s">
        <v>865</v>
      </c>
      <c r="D85" s="1" t="s">
        <v>8</v>
      </c>
      <c r="E85" s="6" t="s">
        <v>319</v>
      </c>
      <c r="F85" s="1">
        <v>205</v>
      </c>
    </row>
    <row r="86" spans="1:14" ht="15.6">
      <c r="A86" s="1" t="s">
        <v>574</v>
      </c>
      <c r="B86" s="1" t="s">
        <v>499</v>
      </c>
      <c r="C86" s="1" t="s">
        <v>899</v>
      </c>
      <c r="D86" s="1" t="s">
        <v>8</v>
      </c>
      <c r="E86" s="6" t="s">
        <v>319</v>
      </c>
      <c r="F86" s="1">
        <v>394</v>
      </c>
    </row>
    <row r="87" spans="1:14" ht="15.6">
      <c r="A87" s="1" t="s">
        <v>900</v>
      </c>
      <c r="B87" s="1" t="s">
        <v>901</v>
      </c>
      <c r="C87" s="1" t="s">
        <v>743</v>
      </c>
      <c r="D87" s="1" t="s">
        <v>8</v>
      </c>
      <c r="E87" s="6" t="s">
        <v>319</v>
      </c>
      <c r="F87" s="1">
        <v>1357</v>
      </c>
    </row>
    <row r="88" spans="1:14" ht="15.6">
      <c r="A88" s="1" t="s">
        <v>574</v>
      </c>
      <c r="B88" s="1" t="s">
        <v>499</v>
      </c>
      <c r="C88" s="1" t="s">
        <v>913</v>
      </c>
      <c r="D88" s="1" t="s">
        <v>8</v>
      </c>
      <c r="E88" s="6" t="s">
        <v>319</v>
      </c>
      <c r="F88" s="1">
        <v>664</v>
      </c>
    </row>
    <row r="89" spans="1:14" ht="15.6">
      <c r="A89" s="1" t="s">
        <v>580</v>
      </c>
      <c r="B89" s="6" t="s">
        <v>195</v>
      </c>
      <c r="C89" s="1" t="s">
        <v>1028</v>
      </c>
      <c r="D89" s="1" t="s">
        <v>8</v>
      </c>
      <c r="E89" s="6" t="s">
        <v>319</v>
      </c>
      <c r="F89" s="1">
        <v>1340</v>
      </c>
      <c r="K89" s="1" t="s">
        <v>657</v>
      </c>
      <c r="M89" s="6"/>
      <c r="N89" s="6"/>
    </row>
    <row r="90" spans="1:14" ht="15.6">
      <c r="A90" s="1" t="s">
        <v>574</v>
      </c>
      <c r="B90" s="1" t="s">
        <v>499</v>
      </c>
      <c r="C90" s="1" t="s">
        <v>1049</v>
      </c>
      <c r="D90" s="1" t="s">
        <v>8</v>
      </c>
      <c r="E90" s="6" t="s">
        <v>319</v>
      </c>
      <c r="F90" s="1">
        <v>396</v>
      </c>
      <c r="K90" s="1" t="s">
        <v>1050</v>
      </c>
    </row>
    <row r="91" spans="1:14" ht="15.6">
      <c r="A91" s="1" t="s">
        <v>574</v>
      </c>
      <c r="B91" s="1" t="s">
        <v>499</v>
      </c>
      <c r="C91" s="1" t="s">
        <v>1079</v>
      </c>
      <c r="D91" s="1" t="s">
        <v>8</v>
      </c>
      <c r="E91" s="6" t="s">
        <v>319</v>
      </c>
      <c r="F91" s="1">
        <v>711</v>
      </c>
      <c r="K91" s="1" t="s">
        <v>1078</v>
      </c>
    </row>
    <row r="92" spans="1:14" ht="15.6">
      <c r="B92" s="1" t="s">
        <v>1117</v>
      </c>
      <c r="C92" s="1" t="s">
        <v>1116</v>
      </c>
      <c r="D92" s="1" t="s">
        <v>8</v>
      </c>
      <c r="E92" s="6" t="s">
        <v>319</v>
      </c>
      <c r="F92" s="1">
        <v>76</v>
      </c>
    </row>
    <row r="93" spans="1:14" ht="15.6">
      <c r="A93" s="1" t="s">
        <v>574</v>
      </c>
      <c r="B93" t="s">
        <v>1118</v>
      </c>
      <c r="C93" s="1" t="s">
        <v>1126</v>
      </c>
      <c r="D93" s="1" t="s">
        <v>8</v>
      </c>
      <c r="E93" s="6" t="s">
        <v>319</v>
      </c>
      <c r="F93" s="1">
        <v>62</v>
      </c>
    </row>
    <row r="94" spans="1:14" ht="15.6">
      <c r="A94" s="1" t="s">
        <v>574</v>
      </c>
      <c r="B94" s="1" t="s">
        <v>77</v>
      </c>
      <c r="C94" s="1" t="s">
        <v>1119</v>
      </c>
      <c r="D94" s="1" t="s">
        <v>8</v>
      </c>
      <c r="E94" s="6" t="s">
        <v>319</v>
      </c>
      <c r="F94" s="1">
        <v>81</v>
      </c>
    </row>
    <row r="95" spans="1:14" ht="15.6">
      <c r="A95" s="1" t="s">
        <v>731</v>
      </c>
      <c r="B95" s="1" t="s">
        <v>544</v>
      </c>
      <c r="C95" s="1" t="s">
        <v>1120</v>
      </c>
      <c r="D95" s="1" t="s">
        <v>8</v>
      </c>
      <c r="E95" s="6" t="s">
        <v>319</v>
      </c>
      <c r="F95" s="1">
        <v>719</v>
      </c>
    </row>
    <row r="96" spans="1:14" ht="15.6">
      <c r="A96" s="1" t="s">
        <v>574</v>
      </c>
      <c r="B96" s="1" t="s">
        <v>1122</v>
      </c>
      <c r="C96" s="1" t="s">
        <v>1121</v>
      </c>
      <c r="D96" s="1" t="s">
        <v>8</v>
      </c>
      <c r="E96" s="6" t="s">
        <v>319</v>
      </c>
      <c r="F96" s="1">
        <v>57</v>
      </c>
    </row>
    <row r="97" spans="1:16" ht="15.6">
      <c r="A97" s="1" t="s">
        <v>574</v>
      </c>
      <c r="B97" s="1" t="s">
        <v>499</v>
      </c>
      <c r="C97" s="1" t="s">
        <v>1123</v>
      </c>
      <c r="D97" s="1" t="s">
        <v>8</v>
      </c>
      <c r="E97" s="6" t="s">
        <v>319</v>
      </c>
      <c r="F97" s="1">
        <v>68</v>
      </c>
      <c r="K97" s="1" t="s">
        <v>1124</v>
      </c>
    </row>
    <row r="98" spans="1:16" ht="15.6">
      <c r="A98" s="6"/>
      <c r="B98" s="6"/>
      <c r="C98" s="1"/>
      <c r="D98" s="1"/>
      <c r="E98" s="6"/>
      <c r="F98" s="6"/>
      <c r="G98" s="6"/>
      <c r="H98" s="6"/>
      <c r="I98" s="6"/>
      <c r="J98" s="6"/>
      <c r="K98" s="6"/>
      <c r="L98" s="12"/>
      <c r="M98" s="6"/>
      <c r="N98" s="6"/>
      <c r="O98" s="1"/>
      <c r="P98" s="1"/>
    </row>
    <row r="99" spans="1:16" ht="15.6">
      <c r="A99" s="1"/>
      <c r="B99" s="1"/>
      <c r="C99" s="1"/>
      <c r="F99" s="1"/>
    </row>
    <row r="100" spans="1:16" ht="15.6">
      <c r="F100" s="1"/>
    </row>
    <row r="101" spans="1:16" ht="15.6">
      <c r="F101" s="1"/>
    </row>
    <row r="102" spans="1:16" ht="15.6">
      <c r="F102" s="1"/>
    </row>
    <row r="103" spans="1:16" ht="15.6">
      <c r="F103" s="1"/>
    </row>
    <row r="104" spans="1:16" ht="15.6">
      <c r="F104" s="1"/>
    </row>
    <row r="105" spans="1:16" ht="15.6">
      <c r="F105" s="1"/>
    </row>
    <row r="106" spans="1:16" ht="15.6">
      <c r="F106" s="1"/>
    </row>
    <row r="107" spans="1:16" ht="15.6">
      <c r="F107" s="1"/>
    </row>
    <row r="108" spans="1:16" ht="15.6">
      <c r="F108" s="1"/>
    </row>
    <row r="109" spans="1:16" ht="15.6">
      <c r="F109" s="1"/>
    </row>
    <row r="110" spans="1:16" ht="15.6">
      <c r="F110" s="1"/>
    </row>
    <row r="111" spans="1:16" ht="15.6">
      <c r="F111" s="1"/>
    </row>
    <row r="112" spans="1:16" ht="15.6">
      <c r="F112" s="1"/>
    </row>
    <row r="113" spans="6:6" ht="15.6">
      <c r="F113" s="1"/>
    </row>
    <row r="114" spans="6:6" ht="15.6">
      <c r="F114" s="1"/>
    </row>
    <row r="115" spans="6:6" ht="15.6">
      <c r="F115" s="1"/>
    </row>
    <row r="116" spans="6:6" ht="15.6">
      <c r="F116" s="1"/>
    </row>
  </sheetData>
  <autoFilter ref="A1:K76" xr:uid="{3BE3ED1C-BD9F-48C9-A4C8-8797A54B2A01}"/>
  <phoneticPr fontId="1"/>
  <conditionalFormatting sqref="L80:N80">
    <cfRule type="expression" dxfId="1466" priority="127">
      <formula>$G80="卖出"</formula>
    </cfRule>
  </conditionalFormatting>
  <conditionalFormatting sqref="C2:C92 C94:C97 C99">
    <cfRule type="expression" dxfId="1465" priority="114">
      <formula>$E2="卖出"</formula>
    </cfRule>
  </conditionalFormatting>
  <conditionalFormatting sqref="C2:C97 C99">
    <cfRule type="duplicateValues" dxfId="1464" priority="115"/>
  </conditionalFormatting>
  <conditionalFormatting sqref="D2:E72">
    <cfRule type="expression" dxfId="1463" priority="113">
      <formula>$E2="卖出"</formula>
    </cfRule>
  </conditionalFormatting>
  <conditionalFormatting sqref="A2:B72">
    <cfRule type="expression" dxfId="1462" priority="112">
      <formula>$E2="卖出"</formula>
    </cfRule>
  </conditionalFormatting>
  <conditionalFormatting sqref="F2:K41 F43:K71 F42:I42 K42 F72:I72 K72">
    <cfRule type="expression" dxfId="1461" priority="111">
      <formula>$E2="卖出"</formula>
    </cfRule>
  </conditionalFormatting>
  <conditionalFormatting sqref="J42">
    <cfRule type="expression" dxfId="1460" priority="110">
      <formula>$E42="卖出"</formula>
    </cfRule>
  </conditionalFormatting>
  <conditionalFormatting sqref="J72">
    <cfRule type="expression" dxfId="1459" priority="109">
      <formula>$E72="卖出"</formula>
    </cfRule>
  </conditionalFormatting>
  <conditionalFormatting sqref="C72:C97 C99">
    <cfRule type="duplicateValues" dxfId="1458" priority="105"/>
  </conditionalFormatting>
  <conditionalFormatting sqref="D73:E84">
    <cfRule type="expression" dxfId="1457" priority="103">
      <formula>$E73="卖出"</formula>
    </cfRule>
  </conditionalFormatting>
  <conditionalFormatting sqref="A73:B84">
    <cfRule type="expression" dxfId="1456" priority="102">
      <formula>$E73="卖出"</formula>
    </cfRule>
  </conditionalFormatting>
  <conditionalFormatting sqref="F73:I84 K73:K84">
    <cfRule type="expression" dxfId="1455" priority="101">
      <formula>$E73="卖出"</formula>
    </cfRule>
  </conditionalFormatting>
  <conditionalFormatting sqref="J73:J84">
    <cfRule type="expression" dxfId="1454" priority="100">
      <formula>$E73="卖出"</formula>
    </cfRule>
  </conditionalFormatting>
  <conditionalFormatting sqref="C85">
    <cfRule type="expression" dxfId="1453" priority="98">
      <formula>$E85="卖出"</formula>
    </cfRule>
  </conditionalFormatting>
  <conditionalFormatting sqref="C85">
    <cfRule type="duplicateValues" dxfId="1452" priority="99"/>
  </conditionalFormatting>
  <conditionalFormatting sqref="D85:E85">
    <cfRule type="expression" dxfId="1451" priority="97">
      <formula>$E85="卖出"</formula>
    </cfRule>
  </conditionalFormatting>
  <conditionalFormatting sqref="A85:B85">
    <cfRule type="expression" dxfId="1450" priority="96">
      <formula>$E85="卖出"</formula>
    </cfRule>
  </conditionalFormatting>
  <conditionalFormatting sqref="F85">
    <cfRule type="expression" dxfId="1449" priority="95">
      <formula>$E85="卖出"</formula>
    </cfRule>
  </conditionalFormatting>
  <conditionalFormatting sqref="A86:B86">
    <cfRule type="expression" dxfId="1448" priority="94">
      <formula>$E86="卖出"</formula>
    </cfRule>
  </conditionalFormatting>
  <conditionalFormatting sqref="D86:E86">
    <cfRule type="expression" dxfId="1447" priority="93">
      <formula>$E86="卖出"</formula>
    </cfRule>
  </conditionalFormatting>
  <conditionalFormatting sqref="F86">
    <cfRule type="expression" dxfId="1446" priority="92">
      <formula>$E86="卖出"</formula>
    </cfRule>
  </conditionalFormatting>
  <conditionalFormatting sqref="C87 C90">
    <cfRule type="expression" dxfId="1445" priority="90">
      <formula>$E87="卖出"</formula>
    </cfRule>
  </conditionalFormatting>
  <conditionalFormatting sqref="C87 C90">
    <cfRule type="duplicateValues" dxfId="1444" priority="91"/>
  </conditionalFormatting>
  <conditionalFormatting sqref="A87:B87">
    <cfRule type="expression" dxfId="1443" priority="89">
      <formula>$E87="卖出"</formula>
    </cfRule>
  </conditionalFormatting>
  <conditionalFormatting sqref="D87:E87">
    <cfRule type="expression" dxfId="1442" priority="86">
      <formula>$E87="卖出"</formula>
    </cfRule>
  </conditionalFormatting>
  <conditionalFormatting sqref="F87">
    <cfRule type="expression" dxfId="1441" priority="85">
      <formula>$E87="卖出"</formula>
    </cfRule>
  </conditionalFormatting>
  <conditionalFormatting sqref="C88">
    <cfRule type="expression" dxfId="1440" priority="79">
      <formula>$E88="卖出"</formula>
    </cfRule>
  </conditionalFormatting>
  <conditionalFormatting sqref="C88">
    <cfRule type="duplicateValues" dxfId="1439" priority="80"/>
  </conditionalFormatting>
  <conditionalFormatting sqref="C88">
    <cfRule type="expression" dxfId="1438" priority="77">
      <formula>$E88="卖出"</formula>
    </cfRule>
  </conditionalFormatting>
  <conditionalFormatting sqref="C88">
    <cfRule type="duplicateValues" dxfId="1437" priority="78"/>
  </conditionalFormatting>
  <conditionalFormatting sqref="A88:B88">
    <cfRule type="expression" dxfId="1436" priority="76">
      <formula>$E88="卖出"</formula>
    </cfRule>
  </conditionalFormatting>
  <conditionalFormatting sqref="D88:E88">
    <cfRule type="expression" dxfId="1435" priority="75">
      <formula>$E88="卖出"</formula>
    </cfRule>
  </conditionalFormatting>
  <conditionalFormatting sqref="F88">
    <cfRule type="expression" dxfId="1434" priority="74">
      <formula>$E88="卖出"</formula>
    </cfRule>
  </conditionalFormatting>
  <conditionalFormatting sqref="B89">
    <cfRule type="expression" dxfId="1433" priority="72">
      <formula>$G89="卖出"</formula>
    </cfRule>
  </conditionalFormatting>
  <conditionalFormatting sqref="A89:C89">
    <cfRule type="expression" dxfId="1432" priority="73">
      <formula>$F89="卖出"</formula>
    </cfRule>
  </conditionalFormatting>
  <conditionalFormatting sqref="N89">
    <cfRule type="expression" dxfId="1431" priority="71">
      <formula>$G87="卖出"</formula>
    </cfRule>
  </conditionalFormatting>
  <conditionalFormatting sqref="M89">
    <cfRule type="expression" dxfId="1430" priority="70">
      <formula>$G89="卖出"</formula>
    </cfRule>
  </conditionalFormatting>
  <conditionalFormatting sqref="M89">
    <cfRule type="expression" dxfId="1429" priority="69">
      <formula>$D89="卖出"</formula>
    </cfRule>
  </conditionalFormatting>
  <conditionalFormatting sqref="M89">
    <cfRule type="expression" dxfId="1428" priority="67">
      <formula>$G89="卖出"</formula>
    </cfRule>
    <cfRule type="expression" dxfId="1427" priority="68">
      <formula>$D89="卖出"</formula>
    </cfRule>
  </conditionalFormatting>
  <conditionalFormatting sqref="D89:E89">
    <cfRule type="expression" dxfId="1426" priority="66">
      <formula>$E89="卖出"</formula>
    </cfRule>
  </conditionalFormatting>
  <conditionalFormatting sqref="F89">
    <cfRule type="expression" dxfId="1425" priority="65">
      <formula>$E89="卖出"</formula>
    </cfRule>
  </conditionalFormatting>
  <conditionalFormatting sqref="A90:B90">
    <cfRule type="expression" dxfId="1424" priority="64">
      <formula>$E90="卖出"</formula>
    </cfRule>
  </conditionalFormatting>
  <conditionalFormatting sqref="D90:E90">
    <cfRule type="expression" dxfId="1423" priority="63">
      <formula>$E90="卖出"</formula>
    </cfRule>
  </conditionalFormatting>
  <conditionalFormatting sqref="F90">
    <cfRule type="expression" dxfId="1422" priority="62">
      <formula>$E90="卖出"</formula>
    </cfRule>
  </conditionalFormatting>
  <conditionalFormatting sqref="K89:K90">
    <cfRule type="expression" dxfId="1421" priority="61">
      <formula>$E89="卖出"</formula>
    </cfRule>
  </conditionalFormatting>
  <conditionalFormatting sqref="C91">
    <cfRule type="expression" dxfId="1420" priority="59">
      <formula>$E91="卖出"</formula>
    </cfRule>
  </conditionalFormatting>
  <conditionalFormatting sqref="C91">
    <cfRule type="duplicateValues" dxfId="1419" priority="60"/>
  </conditionalFormatting>
  <conditionalFormatting sqref="C91">
    <cfRule type="expression" dxfId="1418" priority="57">
      <formula>$E91="卖出"</formula>
    </cfRule>
  </conditionalFormatting>
  <conditionalFormatting sqref="C91">
    <cfRule type="duplicateValues" dxfId="1417" priority="58"/>
  </conditionalFormatting>
  <conditionalFormatting sqref="A91:B91">
    <cfRule type="expression" dxfId="1416" priority="56">
      <formula>$E91="卖出"</formula>
    </cfRule>
  </conditionalFormatting>
  <conditionalFormatting sqref="D91:E91">
    <cfRule type="expression" dxfId="1415" priority="55">
      <formula>$E91="卖出"</formula>
    </cfRule>
  </conditionalFormatting>
  <conditionalFormatting sqref="F91">
    <cfRule type="expression" dxfId="1414" priority="54">
      <formula>$E91="卖出"</formula>
    </cfRule>
  </conditionalFormatting>
  <conditionalFormatting sqref="K91">
    <cfRule type="expression" dxfId="1413" priority="53">
      <formula>$E91="卖出"</formula>
    </cfRule>
  </conditionalFormatting>
  <conditionalFormatting sqref="B96">
    <cfRule type="expression" dxfId="1412" priority="17">
      <formula>$E96="卖出"</formula>
    </cfRule>
  </conditionalFormatting>
  <conditionalFormatting sqref="D92:E92">
    <cfRule type="expression" dxfId="1411" priority="48">
      <formula>$E92="卖出"</formula>
    </cfRule>
  </conditionalFormatting>
  <conditionalFormatting sqref="F90:F93 F97 F99:F116">
    <cfRule type="expression" dxfId="1410" priority="47">
      <formula>$E90="卖出"</formula>
    </cfRule>
  </conditionalFormatting>
  <conditionalFormatting sqref="B92">
    <cfRule type="expression" dxfId="1409" priority="46">
      <formula>$E92="卖出"</formula>
    </cfRule>
  </conditionalFormatting>
  <conditionalFormatting sqref="D93:E93">
    <cfRule type="expression" dxfId="1408" priority="45">
      <formula>$E93="卖出"</formula>
    </cfRule>
  </conditionalFormatting>
  <conditionalFormatting sqref="C92:C94">
    <cfRule type="expression" dxfId="1407" priority="43">
      <formula>$E92="卖出"</formula>
    </cfRule>
  </conditionalFormatting>
  <conditionalFormatting sqref="C92 C94">
    <cfRule type="duplicateValues" dxfId="1406" priority="44"/>
  </conditionalFormatting>
  <conditionalFormatting sqref="C92:C94">
    <cfRule type="expression" dxfId="1405" priority="41">
      <formula>$E92="卖出"</formula>
    </cfRule>
  </conditionalFormatting>
  <conditionalFormatting sqref="A93">
    <cfRule type="expression" dxfId="1404" priority="40">
      <formula>$E93="卖出"</formula>
    </cfRule>
  </conditionalFormatting>
  <conditionalFormatting sqref="F94">
    <cfRule type="expression" dxfId="1403" priority="39">
      <formula>$E94="卖出"</formula>
    </cfRule>
  </conditionalFormatting>
  <conditionalFormatting sqref="D94:E94">
    <cfRule type="expression" dxfId="1402" priority="38">
      <formula>$E94="卖出"</formula>
    </cfRule>
  </conditionalFormatting>
  <conditionalFormatting sqref="A94">
    <cfRule type="expression" dxfId="1401" priority="37">
      <formula>$E94="卖出"</formula>
    </cfRule>
  </conditionalFormatting>
  <conditionalFormatting sqref="B94">
    <cfRule type="expression" dxfId="1400" priority="36">
      <formula>$E94="卖出"</formula>
    </cfRule>
  </conditionalFormatting>
  <conditionalFormatting sqref="A97:B97">
    <cfRule type="expression" dxfId="1399" priority="11">
      <formula>$E97="卖出"</formula>
    </cfRule>
  </conditionalFormatting>
  <conditionalFormatting sqref="C95">
    <cfRule type="expression" dxfId="1398" priority="33">
      <formula>$E95="卖出"</formula>
    </cfRule>
  </conditionalFormatting>
  <conditionalFormatting sqref="C95">
    <cfRule type="duplicateValues" dxfId="1397" priority="34"/>
  </conditionalFormatting>
  <conditionalFormatting sqref="C95">
    <cfRule type="expression" dxfId="1396" priority="31">
      <formula>$E95="卖出"</formula>
    </cfRule>
  </conditionalFormatting>
  <conditionalFormatting sqref="C95">
    <cfRule type="duplicateValues" dxfId="1395" priority="32"/>
  </conditionalFormatting>
  <conditionalFormatting sqref="F95">
    <cfRule type="expression" dxfId="1394" priority="30">
      <formula>$E95="卖出"</formula>
    </cfRule>
  </conditionalFormatting>
  <conditionalFormatting sqref="D95:E95">
    <cfRule type="expression" dxfId="1393" priority="29">
      <formula>$E95="卖出"</formula>
    </cfRule>
  </conditionalFormatting>
  <conditionalFormatting sqref="A95">
    <cfRule type="expression" dxfId="1392" priority="28">
      <formula>$E95="卖出"</formula>
    </cfRule>
  </conditionalFormatting>
  <conditionalFormatting sqref="B95">
    <cfRule type="expression" dxfId="1391" priority="27">
      <formula>$E95="卖出"</formula>
    </cfRule>
  </conditionalFormatting>
  <conditionalFormatting sqref="D97:E97">
    <cfRule type="expression" dxfId="1390" priority="12">
      <formula>$E97="卖出"</formula>
    </cfRule>
  </conditionalFormatting>
  <conditionalFormatting sqref="C96">
    <cfRule type="expression" dxfId="1389" priority="23">
      <formula>$E96="卖出"</formula>
    </cfRule>
  </conditionalFormatting>
  <conditionalFormatting sqref="C96">
    <cfRule type="duplicateValues" dxfId="1388" priority="24"/>
  </conditionalFormatting>
  <conditionalFormatting sqref="C96">
    <cfRule type="expression" dxfId="1387" priority="21">
      <formula>$E96="卖出"</formula>
    </cfRule>
  </conditionalFormatting>
  <conditionalFormatting sqref="C96">
    <cfRule type="duplicateValues" dxfId="1386" priority="22"/>
  </conditionalFormatting>
  <conditionalFormatting sqref="F96">
    <cfRule type="expression" dxfId="1385" priority="20">
      <formula>$E96="卖出"</formula>
    </cfRule>
  </conditionalFormatting>
  <conditionalFormatting sqref="D96:E96">
    <cfRule type="expression" dxfId="1384" priority="19">
      <formula>$E96="卖出"</formula>
    </cfRule>
  </conditionalFormatting>
  <conditionalFormatting sqref="A96">
    <cfRule type="expression" dxfId="1383" priority="18">
      <formula>$E96="卖出"</formula>
    </cfRule>
  </conditionalFormatting>
  <conditionalFormatting sqref="C97 C99 C93">
    <cfRule type="duplicateValues" dxfId="1382" priority="16"/>
  </conditionalFormatting>
  <conditionalFormatting sqref="K97">
    <cfRule type="expression" dxfId="1381" priority="10">
      <formula>$E97="卖出"</formula>
    </cfRule>
  </conditionalFormatting>
  <conditionalFormatting sqref="A99">
    <cfRule type="expression" dxfId="1380" priority="7">
      <formula>$E99="卖出"</formula>
    </cfRule>
  </conditionalFormatting>
  <conditionalFormatting sqref="B99">
    <cfRule type="expression" dxfId="1379" priority="6">
      <formula>$E99="卖出"</formula>
    </cfRule>
  </conditionalFormatting>
  <conditionalFormatting sqref="C93">
    <cfRule type="expression" dxfId="1378" priority="2893">
      <formula>$E98="卖出"</formula>
    </cfRule>
  </conditionalFormatting>
  <conditionalFormatting sqref="A98:C98 H98:O98 F98">
    <cfRule type="expression" dxfId="1377" priority="4">
      <formula>$G98="卖出"</formula>
    </cfRule>
  </conditionalFormatting>
  <conditionalFormatting sqref="C98">
    <cfRule type="duplicateValues" dxfId="1376" priority="3"/>
  </conditionalFormatting>
  <conditionalFormatting sqref="G98">
    <cfRule type="expression" dxfId="1375" priority="2">
      <formula>$G98="卖出"</formula>
    </cfRule>
  </conditionalFormatting>
  <conditionalFormatting sqref="C98">
    <cfRule type="duplicateValues" dxfId="1374" priority="5"/>
  </conditionalFormatting>
  <conditionalFormatting sqref="D98:E98">
    <cfRule type="expression" dxfId="1373" priority="1">
      <formula>$E98="卖出"</formula>
    </cfRule>
  </conditionalFormatting>
  <dataValidations count="3">
    <dataValidation type="list" allowBlank="1" showInputMessage="1" showErrorMessage="1" sqref="E1:E74 G80 E76:E98 G98" xr:uid="{28F6922D-F060-4FBD-91FF-B4081BF6DF37}">
      <formula1>"留存,卖出"</formula1>
    </dataValidation>
    <dataValidation type="list" allowBlank="1" showInputMessage="1" showErrorMessage="1" sqref="D44:D74 D76:D98" xr:uid="{43DBF25A-C2CF-4B8A-ACB7-26AC139737A1}">
      <formula1>"全新,拆摆,待定"</formula1>
    </dataValidation>
    <dataValidation type="list" allowBlank="1" showInputMessage="1" showErrorMessage="1" sqref="D2:D43 D75" xr:uid="{64088474-1E9B-4D78-A1A7-C073D12076A9}">
      <formula1>"全新,内袋未拆,拆摆,待定"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4EDF-2039-4DEB-A429-193A076759CF}">
  <sheetPr codeName="Sheet4"/>
  <dimension ref="A1:Q157"/>
  <sheetViews>
    <sheetView workbookViewId="0">
      <pane ySplit="1" topLeftCell="A131" activePane="bottomLeft" state="frozen"/>
      <selection pane="bottomLeft" activeCell="A57" sqref="A57:XFD57"/>
    </sheetView>
  </sheetViews>
  <sheetFormatPr defaultRowHeight="15.6"/>
  <cols>
    <col min="1" max="1" width="27.109375" bestFit="1" customWidth="1"/>
    <col min="2" max="2" width="18.6640625" style="6" bestFit="1" customWidth="1"/>
    <col min="3" max="3" width="52.44140625" customWidth="1"/>
    <col min="5" max="5" width="9.5546875" bestFit="1" customWidth="1"/>
    <col min="12" max="12" width="12.88671875" customWidth="1"/>
    <col min="13" max="13" width="17" bestFit="1" customWidth="1"/>
    <col min="14" max="14" width="38.6640625" bestFit="1" customWidth="1"/>
    <col min="16" max="16" width="12" customWidth="1"/>
  </cols>
  <sheetData>
    <row r="1" spans="1:17" ht="16.2">
      <c r="A1" s="9" t="s">
        <v>12</v>
      </c>
      <c r="B1" s="9" t="s">
        <v>31</v>
      </c>
      <c r="C1" s="9" t="s">
        <v>0</v>
      </c>
      <c r="D1" s="9" t="s">
        <v>258</v>
      </c>
      <c r="E1" s="9" t="s">
        <v>259</v>
      </c>
      <c r="F1" s="9" t="s">
        <v>6</v>
      </c>
      <c r="G1" s="9" t="s">
        <v>2</v>
      </c>
      <c r="H1" s="9" t="s">
        <v>11</v>
      </c>
      <c r="I1" s="9" t="s">
        <v>283</v>
      </c>
      <c r="J1" s="9" t="s">
        <v>3</v>
      </c>
      <c r="K1" s="9" t="s">
        <v>280</v>
      </c>
      <c r="L1" s="9" t="s">
        <v>267</v>
      </c>
      <c r="M1" s="9" t="s">
        <v>516</v>
      </c>
      <c r="N1" s="9" t="s">
        <v>22</v>
      </c>
    </row>
    <row r="2" spans="1:17">
      <c r="A2" s="6" t="s">
        <v>13</v>
      </c>
      <c r="B2" s="6" t="s">
        <v>243</v>
      </c>
      <c r="C2" s="1" t="s">
        <v>244</v>
      </c>
      <c r="D2" s="6">
        <v>10</v>
      </c>
      <c r="E2" s="6"/>
      <c r="F2" s="6"/>
      <c r="G2" s="6" t="s">
        <v>116</v>
      </c>
      <c r="H2" s="6">
        <f t="shared" ref="H2:H33" si="0">D2+E2+F2</f>
        <v>10</v>
      </c>
      <c r="I2" s="6">
        <v>10</v>
      </c>
      <c r="J2" s="6">
        <v>0</v>
      </c>
      <c r="K2" s="6">
        <f>J2-I2</f>
        <v>-10</v>
      </c>
      <c r="L2" s="12">
        <f>ROUND(K2/I2,4)</f>
        <v>-1</v>
      </c>
      <c r="M2" s="6" t="s">
        <v>633</v>
      </c>
      <c r="N2" s="6" t="s">
        <v>641</v>
      </c>
      <c r="O2" s="6"/>
      <c r="P2" s="8" t="s">
        <v>16</v>
      </c>
      <c r="Q2" s="8">
        <f>SUM(H:H)</f>
        <v>96642</v>
      </c>
    </row>
    <row r="3" spans="1:17">
      <c r="A3" s="6" t="s">
        <v>13</v>
      </c>
      <c r="B3" s="6" t="s">
        <v>93</v>
      </c>
      <c r="C3" s="1" t="s">
        <v>1262</v>
      </c>
      <c r="D3" s="6">
        <v>81</v>
      </c>
      <c r="E3" s="6">
        <v>668</v>
      </c>
      <c r="F3" s="6"/>
      <c r="G3" s="6" t="s">
        <v>319</v>
      </c>
      <c r="H3" s="6">
        <f t="shared" si="0"/>
        <v>749</v>
      </c>
      <c r="I3" s="6"/>
      <c r="J3" s="6"/>
      <c r="K3" s="6"/>
      <c r="L3" s="12"/>
      <c r="M3" s="6" t="s">
        <v>546</v>
      </c>
      <c r="N3" s="6" t="s">
        <v>256</v>
      </c>
      <c r="P3" s="8" t="s">
        <v>17</v>
      </c>
      <c r="Q3" s="8">
        <f>SUM(J:J)</f>
        <v>19270</v>
      </c>
    </row>
    <row r="4" spans="1:17">
      <c r="A4" s="6" t="s">
        <v>254</v>
      </c>
      <c r="B4" s="6" t="s">
        <v>228</v>
      </c>
      <c r="C4" s="1" t="s">
        <v>1260</v>
      </c>
      <c r="D4" s="6">
        <v>34</v>
      </c>
      <c r="E4" s="6">
        <v>409</v>
      </c>
      <c r="F4" s="6"/>
      <c r="G4" s="6" t="s">
        <v>319</v>
      </c>
      <c r="H4" s="6">
        <f t="shared" si="0"/>
        <v>443</v>
      </c>
      <c r="I4" s="6"/>
      <c r="J4" s="6"/>
      <c r="K4" s="6"/>
      <c r="L4" s="12"/>
      <c r="M4" s="6" t="s">
        <v>546</v>
      </c>
      <c r="N4" s="6" t="s">
        <v>1261</v>
      </c>
      <c r="O4" s="6"/>
      <c r="P4" s="2" t="s">
        <v>281</v>
      </c>
      <c r="Q4" s="8">
        <f>SUM(I:I)</f>
        <v>18628</v>
      </c>
    </row>
    <row r="5" spans="1:17">
      <c r="A5" s="6" t="s">
        <v>13</v>
      </c>
      <c r="B5" s="6" t="s">
        <v>96</v>
      </c>
      <c r="C5" s="1" t="s">
        <v>664</v>
      </c>
      <c r="D5" s="6">
        <v>333</v>
      </c>
      <c r="E5" s="6">
        <v>1428</v>
      </c>
      <c r="F5" s="6"/>
      <c r="G5" s="6" t="s">
        <v>116</v>
      </c>
      <c r="H5" s="6">
        <f t="shared" si="0"/>
        <v>1761</v>
      </c>
      <c r="I5" s="6">
        <v>1761</v>
      </c>
      <c r="J5" s="6">
        <v>1846</v>
      </c>
      <c r="K5" s="6">
        <f>J5-I5</f>
        <v>85</v>
      </c>
      <c r="L5" s="12">
        <f>ROUND(K5/I5,4)</f>
        <v>4.8300000000000003E-2</v>
      </c>
      <c r="M5" s="6" t="s">
        <v>546</v>
      </c>
      <c r="N5" s="6" t="s">
        <v>256</v>
      </c>
      <c r="O5" s="6"/>
      <c r="P5" s="8" t="s">
        <v>280</v>
      </c>
      <c r="Q5" s="8">
        <f>SUM(K:K)</f>
        <v>642</v>
      </c>
    </row>
    <row r="6" spans="1:17">
      <c r="A6" s="6" t="s">
        <v>13</v>
      </c>
      <c r="B6" s="6" t="s">
        <v>96</v>
      </c>
      <c r="C6" s="1" t="s">
        <v>914</v>
      </c>
      <c r="D6" s="6">
        <v>284</v>
      </c>
      <c r="E6" s="6">
        <v>1415</v>
      </c>
      <c r="F6" s="6">
        <v>16</v>
      </c>
      <c r="G6" s="6" t="s">
        <v>319</v>
      </c>
      <c r="H6" s="6">
        <f t="shared" si="0"/>
        <v>1715</v>
      </c>
      <c r="I6" s="6"/>
      <c r="J6" s="6"/>
      <c r="K6" s="6"/>
      <c r="L6" s="12"/>
      <c r="M6" s="6" t="s">
        <v>630</v>
      </c>
      <c r="N6" s="6" t="s">
        <v>272</v>
      </c>
      <c r="P6" s="2" t="s">
        <v>267</v>
      </c>
      <c r="Q6" s="13">
        <f>ROUND(Q5/Q4,4)</f>
        <v>3.4500000000000003E-2</v>
      </c>
    </row>
    <row r="7" spans="1:17">
      <c r="A7" s="6" t="s">
        <v>13</v>
      </c>
      <c r="B7" s="6" t="s">
        <v>96</v>
      </c>
      <c r="C7" s="1" t="s">
        <v>44</v>
      </c>
      <c r="D7" s="6">
        <v>299</v>
      </c>
      <c r="E7" s="6">
        <v>1395</v>
      </c>
      <c r="F7" s="6"/>
      <c r="G7" s="6" t="s">
        <v>116</v>
      </c>
      <c r="H7" s="6">
        <f t="shared" si="0"/>
        <v>1694</v>
      </c>
      <c r="I7" s="6">
        <v>1694</v>
      </c>
      <c r="J7" s="6">
        <v>1760</v>
      </c>
      <c r="K7" s="6">
        <f>J7-I7</f>
        <v>66</v>
      </c>
      <c r="L7" s="12">
        <f>ROUND(K7/I7,4)</f>
        <v>3.9E-2</v>
      </c>
      <c r="M7" s="6" t="s">
        <v>546</v>
      </c>
      <c r="N7" s="6" t="s">
        <v>271</v>
      </c>
      <c r="P7" s="8" t="s">
        <v>18</v>
      </c>
      <c r="Q7" s="8">
        <f>Q2-Q3</f>
        <v>77372</v>
      </c>
    </row>
    <row r="8" spans="1:17">
      <c r="A8" s="6" t="s">
        <v>13</v>
      </c>
      <c r="B8" s="6" t="s">
        <v>225</v>
      </c>
      <c r="C8" s="1" t="s">
        <v>671</v>
      </c>
      <c r="D8" s="6">
        <v>46</v>
      </c>
      <c r="E8" s="6">
        <v>410</v>
      </c>
      <c r="F8" s="6"/>
      <c r="G8" s="6" t="s">
        <v>319</v>
      </c>
      <c r="H8" s="6">
        <f t="shared" si="0"/>
        <v>456</v>
      </c>
      <c r="I8" s="6"/>
      <c r="J8" s="6"/>
      <c r="K8" s="6"/>
      <c r="L8" s="12"/>
      <c r="M8" s="6" t="s">
        <v>546</v>
      </c>
      <c r="N8" s="6" t="s">
        <v>271</v>
      </c>
    </row>
    <row r="9" spans="1:17">
      <c r="A9" s="6" t="s">
        <v>13</v>
      </c>
      <c r="B9" s="6" t="s">
        <v>96</v>
      </c>
      <c r="C9" s="1" t="s">
        <v>475</v>
      </c>
      <c r="D9" s="6">
        <v>295</v>
      </c>
      <c r="E9" s="6">
        <v>1438</v>
      </c>
      <c r="F9" s="6"/>
      <c r="G9" s="6" t="s">
        <v>319</v>
      </c>
      <c r="H9" s="6">
        <f t="shared" si="0"/>
        <v>1733</v>
      </c>
      <c r="I9" s="6"/>
      <c r="J9" s="6"/>
      <c r="K9" s="6"/>
      <c r="L9" s="12"/>
      <c r="M9" s="6" t="s">
        <v>630</v>
      </c>
      <c r="N9" s="6" t="s">
        <v>271</v>
      </c>
    </row>
    <row r="10" spans="1:17">
      <c r="A10" s="6" t="s">
        <v>13</v>
      </c>
      <c r="B10" s="6" t="s">
        <v>233</v>
      </c>
      <c r="C10" s="1" t="s">
        <v>915</v>
      </c>
      <c r="D10" s="6">
        <v>76</v>
      </c>
      <c r="E10" s="6">
        <v>360</v>
      </c>
      <c r="F10" s="6"/>
      <c r="G10" s="6" t="s">
        <v>319</v>
      </c>
      <c r="H10" s="6">
        <f t="shared" si="0"/>
        <v>436</v>
      </c>
      <c r="I10" s="6"/>
      <c r="J10" s="6"/>
      <c r="K10" s="6"/>
      <c r="L10" s="12"/>
      <c r="M10" s="6" t="s">
        <v>542</v>
      </c>
      <c r="N10" s="6" t="s">
        <v>257</v>
      </c>
    </row>
    <row r="11" spans="1:17">
      <c r="A11" s="6" t="s">
        <v>330</v>
      </c>
      <c r="B11" s="6" t="s">
        <v>331</v>
      </c>
      <c r="C11" s="1" t="s">
        <v>333</v>
      </c>
      <c r="D11" s="6">
        <v>70</v>
      </c>
      <c r="E11" s="6">
        <v>504</v>
      </c>
      <c r="F11" s="6"/>
      <c r="G11" s="6" t="s">
        <v>116</v>
      </c>
      <c r="H11" s="6">
        <f t="shared" si="0"/>
        <v>574</v>
      </c>
      <c r="I11" s="6">
        <v>574</v>
      </c>
      <c r="J11" s="6">
        <v>520</v>
      </c>
      <c r="K11" s="6">
        <f>J11-I11</f>
        <v>-54</v>
      </c>
      <c r="L11" s="12">
        <f>ROUND(K11/I11,4)</f>
        <v>-9.4100000000000003E-2</v>
      </c>
      <c r="M11" s="6" t="s">
        <v>518</v>
      </c>
      <c r="N11" s="6" t="s">
        <v>517</v>
      </c>
    </row>
    <row r="12" spans="1:17">
      <c r="A12" s="6" t="s">
        <v>330</v>
      </c>
      <c r="B12" s="6" t="s">
        <v>331</v>
      </c>
      <c r="C12" s="1" t="s">
        <v>916</v>
      </c>
      <c r="D12" s="6">
        <v>192</v>
      </c>
      <c r="E12" s="6">
        <v>436</v>
      </c>
      <c r="F12" s="6"/>
      <c r="G12" s="6" t="s">
        <v>319</v>
      </c>
      <c r="H12" s="6">
        <f t="shared" si="0"/>
        <v>628</v>
      </c>
      <c r="I12" s="6"/>
      <c r="J12" s="6"/>
      <c r="K12" s="6"/>
      <c r="L12" s="12"/>
      <c r="M12" s="6"/>
      <c r="N12" s="6" t="s">
        <v>257</v>
      </c>
    </row>
    <row r="13" spans="1:17">
      <c r="A13" s="6" t="s">
        <v>449</v>
      </c>
      <c r="C13" s="1" t="s">
        <v>450</v>
      </c>
      <c r="D13" s="6">
        <v>450</v>
      </c>
      <c r="E13" s="6">
        <v>0</v>
      </c>
      <c r="F13" s="6">
        <v>18</v>
      </c>
      <c r="G13" s="6" t="s">
        <v>319</v>
      </c>
      <c r="H13" s="6">
        <f t="shared" si="0"/>
        <v>468</v>
      </c>
      <c r="I13" s="6"/>
      <c r="J13" s="6"/>
      <c r="K13" s="6"/>
      <c r="L13" s="12"/>
      <c r="M13" s="6" t="s">
        <v>518</v>
      </c>
      <c r="N13" s="6" t="s">
        <v>451</v>
      </c>
    </row>
    <row r="14" spans="1:17">
      <c r="A14" s="6" t="s">
        <v>252</v>
      </c>
      <c r="B14" s="6" t="s">
        <v>587</v>
      </c>
      <c r="C14" s="1" t="s">
        <v>761</v>
      </c>
      <c r="D14" s="6">
        <v>245</v>
      </c>
      <c r="E14" s="6">
        <v>1700</v>
      </c>
      <c r="F14" s="6">
        <v>18</v>
      </c>
      <c r="G14" s="6" t="s">
        <v>319</v>
      </c>
      <c r="H14" s="6">
        <f t="shared" si="0"/>
        <v>1963</v>
      </c>
      <c r="I14" s="6"/>
      <c r="J14" s="6"/>
      <c r="K14" s="6"/>
      <c r="L14" s="12"/>
      <c r="M14" s="6" t="s">
        <v>634</v>
      </c>
      <c r="N14" s="6" t="s">
        <v>257</v>
      </c>
    </row>
    <row r="15" spans="1:17">
      <c r="A15" s="6" t="s">
        <v>13</v>
      </c>
      <c r="B15" s="6" t="s">
        <v>228</v>
      </c>
      <c r="C15" s="1" t="s">
        <v>239</v>
      </c>
      <c r="D15" s="6">
        <v>46</v>
      </c>
      <c r="E15" s="6">
        <v>1250</v>
      </c>
      <c r="F15" s="6"/>
      <c r="G15" s="6" t="s">
        <v>319</v>
      </c>
      <c r="H15" s="6">
        <f t="shared" si="0"/>
        <v>1296</v>
      </c>
      <c r="I15" s="6"/>
      <c r="J15" s="6"/>
      <c r="K15" s="6"/>
      <c r="L15" s="12"/>
      <c r="M15" s="6" t="s">
        <v>542</v>
      </c>
      <c r="N15" s="6"/>
    </row>
    <row r="16" spans="1:17">
      <c r="A16" s="6" t="s">
        <v>777</v>
      </c>
      <c r="B16" s="6" t="s">
        <v>439</v>
      </c>
      <c r="C16" s="1" t="s">
        <v>778</v>
      </c>
      <c r="D16" s="6">
        <v>248</v>
      </c>
      <c r="E16" s="6">
        <v>650</v>
      </c>
      <c r="F16" s="6"/>
      <c r="G16" s="6" t="s">
        <v>319</v>
      </c>
      <c r="H16" s="6">
        <f t="shared" si="0"/>
        <v>898</v>
      </c>
      <c r="I16" s="6"/>
      <c r="J16" s="6"/>
      <c r="K16" s="6"/>
      <c r="L16" s="12"/>
      <c r="M16" s="6" t="s">
        <v>523</v>
      </c>
      <c r="N16" s="6" t="s">
        <v>522</v>
      </c>
    </row>
    <row r="17" spans="1:15">
      <c r="A17" s="6" t="s">
        <v>294</v>
      </c>
      <c r="B17" s="6" t="s">
        <v>296</v>
      </c>
      <c r="C17" s="1" t="s">
        <v>295</v>
      </c>
      <c r="D17" s="6">
        <v>173</v>
      </c>
      <c r="E17" s="6">
        <v>290</v>
      </c>
      <c r="F17" s="6"/>
      <c r="G17" s="6" t="s">
        <v>116</v>
      </c>
      <c r="H17" s="6">
        <f t="shared" si="0"/>
        <v>463</v>
      </c>
      <c r="I17" s="6">
        <v>463</v>
      </c>
      <c r="J17" s="6">
        <v>437</v>
      </c>
      <c r="K17" s="6">
        <f>J17-I17</f>
        <v>-26</v>
      </c>
      <c r="L17" s="12">
        <f>ROUND(K17/I17,4)</f>
        <v>-5.62E-2</v>
      </c>
      <c r="M17" s="6" t="s">
        <v>519</v>
      </c>
      <c r="N17" s="6" t="s">
        <v>520</v>
      </c>
    </row>
    <row r="18" spans="1:15">
      <c r="A18" s="6" t="s">
        <v>126</v>
      </c>
      <c r="B18" s="6" t="s">
        <v>127</v>
      </c>
      <c r="C18" s="1" t="s">
        <v>562</v>
      </c>
      <c r="D18" s="6">
        <v>150</v>
      </c>
      <c r="E18" s="6">
        <v>904</v>
      </c>
      <c r="F18" s="6"/>
      <c r="G18" s="6" t="s">
        <v>116</v>
      </c>
      <c r="H18" s="6">
        <f t="shared" si="0"/>
        <v>1054</v>
      </c>
      <c r="I18" s="6">
        <v>1054</v>
      </c>
      <c r="J18" s="6">
        <v>1053</v>
      </c>
      <c r="K18" s="6">
        <f>J18-I18</f>
        <v>-1</v>
      </c>
      <c r="L18" s="12">
        <f>ROUND(K18/I18,4)</f>
        <v>-8.9999999999999998E-4</v>
      </c>
      <c r="M18" s="6" t="s">
        <v>635</v>
      </c>
      <c r="N18" s="6" t="s">
        <v>563</v>
      </c>
    </row>
    <row r="19" spans="1:15">
      <c r="A19" s="6" t="s">
        <v>299</v>
      </c>
      <c r="B19" s="6" t="s">
        <v>673</v>
      </c>
      <c r="C19" s="1" t="s">
        <v>917</v>
      </c>
      <c r="D19" s="6">
        <v>146</v>
      </c>
      <c r="E19" s="6">
        <v>967</v>
      </c>
      <c r="F19" s="6"/>
      <c r="G19" s="6" t="s">
        <v>319</v>
      </c>
      <c r="H19" s="6">
        <f t="shared" si="0"/>
        <v>1113</v>
      </c>
      <c r="I19" s="6"/>
      <c r="J19" s="6"/>
      <c r="K19" s="6"/>
      <c r="L19" s="12"/>
      <c r="M19" s="6" t="s">
        <v>621</v>
      </c>
      <c r="N19" s="6" t="s">
        <v>300</v>
      </c>
    </row>
    <row r="20" spans="1:15">
      <c r="A20" s="6" t="s">
        <v>330</v>
      </c>
      <c r="B20" s="6" t="s">
        <v>331</v>
      </c>
      <c r="C20" s="1" t="s">
        <v>918</v>
      </c>
      <c r="D20" s="6">
        <v>123</v>
      </c>
      <c r="E20" s="6">
        <v>488</v>
      </c>
      <c r="F20" s="6"/>
      <c r="G20" s="6" t="s">
        <v>319</v>
      </c>
      <c r="H20" s="6">
        <f t="shared" si="0"/>
        <v>611</v>
      </c>
      <c r="I20" s="6"/>
      <c r="J20" s="6"/>
      <c r="K20" s="6"/>
      <c r="L20" s="12"/>
      <c r="M20" s="6" t="s">
        <v>621</v>
      </c>
      <c r="N20" s="6" t="s">
        <v>569</v>
      </c>
    </row>
    <row r="21" spans="1:15">
      <c r="A21" s="6" t="s">
        <v>650</v>
      </c>
      <c r="B21" s="6" t="s">
        <v>331</v>
      </c>
      <c r="C21" s="1" t="s">
        <v>920</v>
      </c>
      <c r="D21" s="6">
        <v>107</v>
      </c>
      <c r="E21" s="6">
        <v>691</v>
      </c>
      <c r="F21" s="6"/>
      <c r="G21" s="6" t="s">
        <v>319</v>
      </c>
      <c r="H21" s="6">
        <f t="shared" si="0"/>
        <v>798</v>
      </c>
      <c r="I21" s="6"/>
      <c r="J21" s="6"/>
      <c r="K21" s="6"/>
      <c r="L21" s="12"/>
      <c r="M21" s="6" t="s">
        <v>621</v>
      </c>
      <c r="N21" s="6" t="s">
        <v>957</v>
      </c>
    </row>
    <row r="22" spans="1:15">
      <c r="A22" s="6" t="s">
        <v>584</v>
      </c>
      <c r="B22" s="6" t="s">
        <v>585</v>
      </c>
      <c r="C22" s="1" t="s">
        <v>583</v>
      </c>
      <c r="D22" s="6">
        <v>30</v>
      </c>
      <c r="E22" s="6">
        <v>131</v>
      </c>
      <c r="F22" s="6"/>
      <c r="G22" s="6" t="s">
        <v>319</v>
      </c>
      <c r="H22" s="6">
        <f t="shared" si="0"/>
        <v>161</v>
      </c>
      <c r="I22" s="6"/>
      <c r="J22" s="6"/>
      <c r="K22" s="6"/>
      <c r="L22" s="12"/>
      <c r="M22" s="6" t="s">
        <v>546</v>
      </c>
      <c r="N22" s="6" t="s">
        <v>957</v>
      </c>
    </row>
    <row r="23" spans="1:15">
      <c r="A23" s="6" t="s">
        <v>854</v>
      </c>
      <c r="B23" s="6" t="s">
        <v>926</v>
      </c>
      <c r="C23" s="1" t="s">
        <v>921</v>
      </c>
      <c r="D23" s="6">
        <v>278</v>
      </c>
      <c r="E23" s="6">
        <v>1217</v>
      </c>
      <c r="F23" s="6"/>
      <c r="G23" s="6" t="s">
        <v>319</v>
      </c>
      <c r="H23" s="6">
        <f t="shared" si="0"/>
        <v>1495</v>
      </c>
      <c r="I23" s="6"/>
      <c r="J23" s="6"/>
      <c r="K23" s="6"/>
      <c r="L23" s="12"/>
      <c r="M23" s="6" t="s">
        <v>546</v>
      </c>
      <c r="N23" s="6" t="s">
        <v>332</v>
      </c>
    </row>
    <row r="24" spans="1:15">
      <c r="A24" s="6" t="s">
        <v>693</v>
      </c>
      <c r="B24" s="6" t="s">
        <v>669</v>
      </c>
      <c r="C24" s="1" t="s">
        <v>668</v>
      </c>
      <c r="D24" s="6">
        <v>40</v>
      </c>
      <c r="E24" s="6">
        <v>383</v>
      </c>
      <c r="F24" s="6"/>
      <c r="G24" s="6" t="s">
        <v>319</v>
      </c>
      <c r="H24" s="6">
        <f t="shared" si="0"/>
        <v>423</v>
      </c>
      <c r="I24" s="6"/>
      <c r="J24" s="6"/>
      <c r="K24" s="6"/>
      <c r="L24" s="12"/>
      <c r="M24" s="6" t="s">
        <v>621</v>
      </c>
      <c r="N24" s="6" t="s">
        <v>569</v>
      </c>
    </row>
    <row r="25" spans="1:15">
      <c r="A25" s="6" t="s">
        <v>466</v>
      </c>
      <c r="B25" s="6" t="s">
        <v>465</v>
      </c>
      <c r="C25" s="1" t="s">
        <v>668</v>
      </c>
      <c r="D25" s="6">
        <v>106</v>
      </c>
      <c r="E25" s="6">
        <v>591</v>
      </c>
      <c r="F25" s="6"/>
      <c r="G25" s="6" t="s">
        <v>319</v>
      </c>
      <c r="H25" s="6">
        <f t="shared" si="0"/>
        <v>697</v>
      </c>
      <c r="I25" s="6"/>
      <c r="J25" s="6"/>
      <c r="K25" s="6"/>
      <c r="L25" s="12"/>
      <c r="M25" s="6" t="s">
        <v>616</v>
      </c>
      <c r="N25" s="6" t="s">
        <v>511</v>
      </c>
      <c r="O25" s="6"/>
    </row>
    <row r="26" spans="1:15">
      <c r="A26" s="6" t="s">
        <v>466</v>
      </c>
      <c r="B26" s="6" t="s">
        <v>396</v>
      </c>
      <c r="C26" s="1" t="s">
        <v>668</v>
      </c>
      <c r="D26" s="6">
        <v>60</v>
      </c>
      <c r="E26" s="6">
        <v>566</v>
      </c>
      <c r="F26" s="6"/>
      <c r="G26" s="6" t="s">
        <v>116</v>
      </c>
      <c r="H26" s="6">
        <f t="shared" si="0"/>
        <v>626</v>
      </c>
      <c r="I26" s="6">
        <v>626</v>
      </c>
      <c r="J26" s="6">
        <v>538</v>
      </c>
      <c r="K26" s="6">
        <f>J26-I26</f>
        <v>-88</v>
      </c>
      <c r="L26" s="12">
        <f>ROUND(K26/I26,4)</f>
        <v>-0.1406</v>
      </c>
      <c r="M26" s="6" t="s">
        <v>621</v>
      </c>
      <c r="N26" s="6" t="s">
        <v>561</v>
      </c>
    </row>
    <row r="27" spans="1:15">
      <c r="A27" s="6" t="s">
        <v>260</v>
      </c>
      <c r="B27" s="6" t="s">
        <v>261</v>
      </c>
      <c r="C27" s="1" t="s">
        <v>762</v>
      </c>
      <c r="D27" s="6">
        <v>22</v>
      </c>
      <c r="E27" s="6">
        <v>65</v>
      </c>
      <c r="F27" s="6">
        <v>8</v>
      </c>
      <c r="G27" s="6" t="s">
        <v>319</v>
      </c>
      <c r="H27" s="6">
        <f t="shared" si="0"/>
        <v>95</v>
      </c>
      <c r="I27" s="6"/>
      <c r="J27" s="6"/>
      <c r="K27" s="6"/>
      <c r="L27" s="12"/>
      <c r="M27" s="6" t="s">
        <v>923</v>
      </c>
      <c r="N27" s="6" t="s">
        <v>511</v>
      </c>
    </row>
    <row r="28" spans="1:15">
      <c r="A28" s="6" t="s">
        <v>13</v>
      </c>
      <c r="B28" s="6" t="s">
        <v>405</v>
      </c>
      <c r="C28" s="1" t="s">
        <v>922</v>
      </c>
      <c r="D28" s="6">
        <v>103</v>
      </c>
      <c r="E28" s="6">
        <v>474</v>
      </c>
      <c r="F28" s="6"/>
      <c r="G28" s="6" t="s">
        <v>319</v>
      </c>
      <c r="H28" s="6">
        <f t="shared" si="0"/>
        <v>577</v>
      </c>
      <c r="I28" s="6"/>
      <c r="J28" s="6"/>
      <c r="K28" s="6"/>
      <c r="L28" s="12"/>
      <c r="M28" s="6" t="s">
        <v>616</v>
      </c>
      <c r="N28" s="6" t="s">
        <v>511</v>
      </c>
    </row>
    <row r="29" spans="1:15">
      <c r="A29" s="6" t="s">
        <v>909</v>
      </c>
      <c r="B29" s="6" t="s">
        <v>273</v>
      </c>
      <c r="C29" s="1" t="s">
        <v>924</v>
      </c>
      <c r="D29" s="6">
        <v>121</v>
      </c>
      <c r="E29" s="6">
        <v>665</v>
      </c>
      <c r="F29" s="6"/>
      <c r="G29" s="6" t="s">
        <v>319</v>
      </c>
      <c r="H29" s="6">
        <f t="shared" si="0"/>
        <v>786</v>
      </c>
      <c r="I29" s="6"/>
      <c r="J29" s="6"/>
      <c r="K29" s="6"/>
      <c r="L29" s="12"/>
      <c r="M29" s="6" t="s">
        <v>621</v>
      </c>
      <c r="N29" s="6" t="s">
        <v>399</v>
      </c>
    </row>
    <row r="30" spans="1:15">
      <c r="A30" s="6" t="s">
        <v>527</v>
      </c>
      <c r="C30" s="1" t="s">
        <v>528</v>
      </c>
      <c r="D30" s="6">
        <v>50</v>
      </c>
      <c r="E30" s="6">
        <v>248</v>
      </c>
      <c r="F30" s="6"/>
      <c r="G30" s="6" t="s">
        <v>319</v>
      </c>
      <c r="H30" s="6">
        <f t="shared" si="0"/>
        <v>298</v>
      </c>
      <c r="I30" s="6"/>
      <c r="J30" s="6"/>
      <c r="K30" s="6"/>
      <c r="L30" s="12"/>
      <c r="M30" s="6" t="s">
        <v>923</v>
      </c>
      <c r="N30" s="19" t="s">
        <v>670</v>
      </c>
    </row>
    <row r="31" spans="1:15">
      <c r="A31" s="6" t="s">
        <v>13</v>
      </c>
      <c r="B31" s="6" t="s">
        <v>93</v>
      </c>
      <c r="C31" s="1" t="s">
        <v>925</v>
      </c>
      <c r="D31" s="6">
        <v>130</v>
      </c>
      <c r="E31" s="6">
        <v>581</v>
      </c>
      <c r="F31" s="6"/>
      <c r="G31" s="6" t="s">
        <v>319</v>
      </c>
      <c r="H31" s="6">
        <f t="shared" si="0"/>
        <v>711</v>
      </c>
      <c r="I31" s="6"/>
      <c r="J31" s="6"/>
      <c r="K31" s="6"/>
      <c r="L31" s="12"/>
      <c r="M31" s="6" t="s">
        <v>546</v>
      </c>
      <c r="N31" s="6" t="s">
        <v>632</v>
      </c>
    </row>
    <row r="32" spans="1:15">
      <c r="A32" s="6" t="s">
        <v>468</v>
      </c>
      <c r="B32" s="6" t="s">
        <v>467</v>
      </c>
      <c r="C32" s="1" t="s">
        <v>835</v>
      </c>
      <c r="D32" s="6">
        <v>165</v>
      </c>
      <c r="E32" s="6">
        <v>822</v>
      </c>
      <c r="F32" s="6"/>
      <c r="G32" s="6" t="s">
        <v>319</v>
      </c>
      <c r="H32" s="6">
        <f t="shared" si="0"/>
        <v>987</v>
      </c>
      <c r="I32" s="6"/>
      <c r="J32" s="6"/>
      <c r="K32" s="6"/>
      <c r="L32" s="12"/>
      <c r="M32" s="6" t="s">
        <v>616</v>
      </c>
      <c r="N32" s="6" t="s">
        <v>862</v>
      </c>
    </row>
    <row r="33" spans="1:14">
      <c r="A33" s="6" t="s">
        <v>622</v>
      </c>
      <c r="B33" s="6" t="s">
        <v>261</v>
      </c>
      <c r="C33" s="1" t="s">
        <v>623</v>
      </c>
      <c r="D33" s="6">
        <v>22</v>
      </c>
      <c r="E33" s="6">
        <v>75</v>
      </c>
      <c r="F33" s="6"/>
      <c r="G33" s="6" t="s">
        <v>319</v>
      </c>
      <c r="H33" s="6">
        <f t="shared" si="0"/>
        <v>97</v>
      </c>
      <c r="I33" s="6"/>
      <c r="J33" s="6"/>
      <c r="K33" s="6"/>
      <c r="L33" s="12"/>
      <c r="M33" s="6" t="s">
        <v>923</v>
      </c>
      <c r="N33" s="6" t="s">
        <v>521</v>
      </c>
    </row>
    <row r="34" spans="1:14">
      <c r="A34" s="6" t="s">
        <v>586</v>
      </c>
      <c r="B34" s="6" t="s">
        <v>273</v>
      </c>
      <c r="C34" s="1" t="s">
        <v>631</v>
      </c>
      <c r="D34" s="6">
        <v>99</v>
      </c>
      <c r="E34" s="6">
        <v>747</v>
      </c>
      <c r="F34" s="6"/>
      <c r="G34" s="6" t="s">
        <v>319</v>
      </c>
      <c r="H34" s="6">
        <f t="shared" ref="H34:H65" si="1">D34+E34+F34</f>
        <v>846</v>
      </c>
      <c r="I34" s="6"/>
      <c r="J34" s="6"/>
      <c r="K34" s="6"/>
      <c r="L34" s="12"/>
      <c r="M34" s="6" t="s">
        <v>628</v>
      </c>
      <c r="N34" s="6" t="s">
        <v>521</v>
      </c>
    </row>
    <row r="35" spans="1:14">
      <c r="A35" s="6" t="s">
        <v>586</v>
      </c>
      <c r="B35" s="6" t="s">
        <v>273</v>
      </c>
      <c r="C35" s="1" t="s">
        <v>631</v>
      </c>
      <c r="D35" s="6">
        <v>90</v>
      </c>
      <c r="E35" s="6">
        <v>747</v>
      </c>
      <c r="F35" s="6"/>
      <c r="G35" s="6" t="s">
        <v>116</v>
      </c>
      <c r="H35" s="6">
        <f t="shared" si="1"/>
        <v>837</v>
      </c>
      <c r="I35" s="6">
        <v>837</v>
      </c>
      <c r="J35" s="6">
        <v>777</v>
      </c>
      <c r="K35" s="6">
        <f>J35-I35</f>
        <v>-60</v>
      </c>
      <c r="L35" s="12">
        <f>ROUND(K35/I35,4)</f>
        <v>-7.17E-2</v>
      </c>
      <c r="M35" s="6" t="s">
        <v>628</v>
      </c>
      <c r="N35" s="6" t="s">
        <v>521</v>
      </c>
    </row>
    <row r="36" spans="1:14">
      <c r="A36" s="6" t="s">
        <v>586</v>
      </c>
      <c r="B36" s="6" t="s">
        <v>273</v>
      </c>
      <c r="C36" s="1" t="s">
        <v>631</v>
      </c>
      <c r="D36" s="6">
        <v>100</v>
      </c>
      <c r="E36" s="6">
        <v>747</v>
      </c>
      <c r="F36" s="6"/>
      <c r="G36" s="6" t="s">
        <v>319</v>
      </c>
      <c r="H36" s="6">
        <f t="shared" si="1"/>
        <v>847</v>
      </c>
      <c r="I36" s="6"/>
      <c r="J36" s="6"/>
      <c r="K36" s="6"/>
      <c r="L36" s="12"/>
      <c r="M36" s="6" t="s">
        <v>628</v>
      </c>
      <c r="N36" s="6" t="s">
        <v>720</v>
      </c>
    </row>
    <row r="37" spans="1:14">
      <c r="A37" s="6"/>
      <c r="B37" s="6" t="s">
        <v>524</v>
      </c>
      <c r="C37" s="1" t="s">
        <v>525</v>
      </c>
      <c r="D37" s="6">
        <v>200</v>
      </c>
      <c r="E37" s="6">
        <v>696</v>
      </c>
      <c r="F37" s="6"/>
      <c r="G37" s="6" t="s">
        <v>319</v>
      </c>
      <c r="H37" s="6">
        <f t="shared" si="1"/>
        <v>896</v>
      </c>
      <c r="I37" s="6"/>
      <c r="J37" s="6"/>
      <c r="K37" s="6"/>
      <c r="L37" s="12"/>
      <c r="M37" s="6" t="s">
        <v>526</v>
      </c>
      <c r="N37" s="6" t="s">
        <v>512</v>
      </c>
    </row>
    <row r="38" spans="1:14">
      <c r="A38" s="6" t="s">
        <v>13</v>
      </c>
      <c r="B38" s="6" t="s">
        <v>926</v>
      </c>
      <c r="C38" s="1" t="s">
        <v>543</v>
      </c>
      <c r="D38" s="6">
        <v>94</v>
      </c>
      <c r="E38" s="6">
        <v>1085</v>
      </c>
      <c r="F38" s="6"/>
      <c r="G38" s="6" t="s">
        <v>319</v>
      </c>
      <c r="H38" s="6">
        <f t="shared" si="1"/>
        <v>1179</v>
      </c>
      <c r="I38" s="6"/>
      <c r="J38" s="6"/>
      <c r="K38" s="6"/>
      <c r="L38" s="12"/>
      <c r="M38" s="6" t="s">
        <v>542</v>
      </c>
      <c r="N38" s="6" t="s">
        <v>512</v>
      </c>
    </row>
    <row r="39" spans="1:14">
      <c r="A39" s="6" t="s">
        <v>927</v>
      </c>
      <c r="B39" s="6" t="s">
        <v>590</v>
      </c>
      <c r="C39" s="1" t="s">
        <v>591</v>
      </c>
      <c r="D39" s="6">
        <v>120</v>
      </c>
      <c r="E39" s="6">
        <v>522</v>
      </c>
      <c r="F39" s="6"/>
      <c r="G39" s="6" t="s">
        <v>116</v>
      </c>
      <c r="H39" s="6">
        <f t="shared" si="1"/>
        <v>642</v>
      </c>
      <c r="I39" s="6">
        <v>642</v>
      </c>
      <c r="J39" s="6">
        <v>764</v>
      </c>
      <c r="K39" s="6">
        <f>J39-I39</f>
        <v>122</v>
      </c>
      <c r="L39" s="12">
        <f>ROUND(K39/I39,4)</f>
        <v>0.19</v>
      </c>
      <c r="M39" s="6" t="s">
        <v>923</v>
      </c>
      <c r="N39" s="6" t="s">
        <v>512</v>
      </c>
    </row>
    <row r="40" spans="1:14">
      <c r="A40" s="6" t="s">
        <v>571</v>
      </c>
      <c r="B40" s="6" t="s">
        <v>261</v>
      </c>
      <c r="C40" s="1" t="s">
        <v>572</v>
      </c>
      <c r="D40" s="6">
        <v>22</v>
      </c>
      <c r="E40" s="6">
        <v>72</v>
      </c>
      <c r="F40" s="6"/>
      <c r="G40" s="6" t="s">
        <v>319</v>
      </c>
      <c r="H40" s="6">
        <f t="shared" si="1"/>
        <v>94</v>
      </c>
      <c r="I40" s="6"/>
      <c r="J40" s="6"/>
      <c r="K40" s="6"/>
      <c r="L40" s="12"/>
      <c r="M40" s="6" t="s">
        <v>923</v>
      </c>
      <c r="N40" s="6" t="s">
        <v>512</v>
      </c>
    </row>
    <row r="41" spans="1:14">
      <c r="A41" s="6" t="s">
        <v>928</v>
      </c>
      <c r="B41" s="6" t="s">
        <v>273</v>
      </c>
      <c r="C41" s="1" t="s">
        <v>560</v>
      </c>
      <c r="D41" s="6">
        <v>85</v>
      </c>
      <c r="E41" s="6">
        <v>799</v>
      </c>
      <c r="F41" s="6"/>
      <c r="G41" s="6" t="s">
        <v>319</v>
      </c>
      <c r="H41" s="6">
        <f t="shared" si="1"/>
        <v>884</v>
      </c>
      <c r="I41" s="6"/>
      <c r="J41" s="6"/>
      <c r="K41" s="6"/>
      <c r="L41" s="12"/>
      <c r="M41" s="6" t="s">
        <v>628</v>
      </c>
      <c r="N41" s="6" t="s">
        <v>512</v>
      </c>
    </row>
    <row r="42" spans="1:14">
      <c r="A42" s="6" t="s">
        <v>260</v>
      </c>
      <c r="B42" s="6" t="s">
        <v>261</v>
      </c>
      <c r="C42" s="1" t="s">
        <v>645</v>
      </c>
      <c r="D42" s="6">
        <v>20</v>
      </c>
      <c r="E42" s="6">
        <v>75</v>
      </c>
      <c r="F42" s="6"/>
      <c r="G42" s="6" t="s">
        <v>319</v>
      </c>
      <c r="H42" s="6">
        <f t="shared" si="1"/>
        <v>95</v>
      </c>
      <c r="I42" s="6"/>
      <c r="J42" s="6"/>
      <c r="K42" s="6"/>
      <c r="L42" s="12"/>
      <c r="M42" s="6" t="s">
        <v>923</v>
      </c>
      <c r="N42" s="6" t="s">
        <v>554</v>
      </c>
    </row>
    <row r="43" spans="1:14">
      <c r="A43" s="6" t="s">
        <v>574</v>
      </c>
      <c r="B43" s="6" t="s">
        <v>77</v>
      </c>
      <c r="C43" s="1" t="s">
        <v>576</v>
      </c>
      <c r="D43" s="6">
        <v>96</v>
      </c>
      <c r="E43" s="6">
        <v>0</v>
      </c>
      <c r="F43" s="6"/>
      <c r="G43" s="6" t="s">
        <v>319</v>
      </c>
      <c r="H43" s="6">
        <f t="shared" si="1"/>
        <v>96</v>
      </c>
      <c r="I43" s="6"/>
      <c r="J43" s="6"/>
      <c r="K43" s="6"/>
      <c r="L43" s="12"/>
      <c r="M43" s="6" t="s">
        <v>546</v>
      </c>
      <c r="N43" s="6" t="s">
        <v>554</v>
      </c>
    </row>
    <row r="44" spans="1:14">
      <c r="A44" s="6" t="s">
        <v>13</v>
      </c>
      <c r="B44" s="6" t="s">
        <v>96</v>
      </c>
      <c r="C44" s="1" t="s">
        <v>629</v>
      </c>
      <c r="D44" s="6">
        <v>385</v>
      </c>
      <c r="E44" s="6">
        <v>1653</v>
      </c>
      <c r="F44" s="6"/>
      <c r="G44" s="6" t="s">
        <v>319</v>
      </c>
      <c r="H44" s="6">
        <f t="shared" si="1"/>
        <v>2038</v>
      </c>
      <c r="I44" s="6"/>
      <c r="J44" s="6"/>
      <c r="K44" s="6"/>
      <c r="L44" s="12"/>
      <c r="M44" s="6" t="s">
        <v>630</v>
      </c>
      <c r="N44" s="6" t="s">
        <v>398</v>
      </c>
    </row>
    <row r="45" spans="1:14">
      <c r="A45" s="6" t="s">
        <v>260</v>
      </c>
      <c r="B45" s="6" t="s">
        <v>406</v>
      </c>
      <c r="C45" s="1" t="s">
        <v>762</v>
      </c>
      <c r="D45" s="6">
        <v>196</v>
      </c>
      <c r="E45" s="6">
        <v>909</v>
      </c>
      <c r="F45" s="6"/>
      <c r="G45" s="6" t="s">
        <v>319</v>
      </c>
      <c r="H45" s="6">
        <f t="shared" si="1"/>
        <v>1105</v>
      </c>
      <c r="I45" s="6"/>
      <c r="J45" s="6"/>
      <c r="K45" s="6"/>
      <c r="L45" s="12"/>
      <c r="M45" s="6" t="s">
        <v>616</v>
      </c>
      <c r="N45" s="6" t="s">
        <v>554</v>
      </c>
    </row>
    <row r="46" spans="1:14">
      <c r="A46" s="6" t="s">
        <v>589</v>
      </c>
      <c r="B46" s="6" t="s">
        <v>588</v>
      </c>
      <c r="C46" s="1" t="s">
        <v>1084</v>
      </c>
      <c r="D46" s="6">
        <v>80</v>
      </c>
      <c r="E46" s="6">
        <v>513</v>
      </c>
      <c r="F46" s="6"/>
      <c r="G46" s="6" t="s">
        <v>116</v>
      </c>
      <c r="H46" s="6">
        <f t="shared" si="1"/>
        <v>593</v>
      </c>
      <c r="I46" s="6">
        <v>593</v>
      </c>
      <c r="J46" s="6">
        <v>626</v>
      </c>
      <c r="K46" s="6">
        <f>J46-I46</f>
        <v>33</v>
      </c>
      <c r="L46" s="12">
        <f>ROUND(K46/I46,4)</f>
        <v>5.5599999999999997E-2</v>
      </c>
      <c r="M46" s="6" t="s">
        <v>923</v>
      </c>
      <c r="N46" s="6" t="s">
        <v>554</v>
      </c>
    </row>
    <row r="47" spans="1:14">
      <c r="A47" s="6" t="s">
        <v>624</v>
      </c>
      <c r="B47" s="6" t="s">
        <v>611</v>
      </c>
      <c r="C47" s="1" t="s">
        <v>625</v>
      </c>
      <c r="D47" s="6">
        <v>45</v>
      </c>
      <c r="E47" s="6">
        <v>149</v>
      </c>
      <c r="F47" s="6"/>
      <c r="G47" s="6" t="s">
        <v>319</v>
      </c>
      <c r="H47" s="6">
        <f t="shared" si="1"/>
        <v>194</v>
      </c>
      <c r="I47" s="6"/>
      <c r="J47" s="6"/>
      <c r="K47" s="6"/>
      <c r="L47" s="12"/>
      <c r="M47" s="6" t="s">
        <v>546</v>
      </c>
      <c r="N47" s="6" t="s">
        <v>626</v>
      </c>
    </row>
    <row r="48" spans="1:14">
      <c r="A48" s="6" t="s">
        <v>624</v>
      </c>
      <c r="B48" s="6" t="s">
        <v>611</v>
      </c>
      <c r="C48" s="1" t="s">
        <v>625</v>
      </c>
      <c r="D48" s="6">
        <v>45</v>
      </c>
      <c r="E48" s="6">
        <v>204</v>
      </c>
      <c r="F48" s="6"/>
      <c r="G48" s="6" t="s">
        <v>319</v>
      </c>
      <c r="H48" s="6">
        <f t="shared" si="1"/>
        <v>249</v>
      </c>
      <c r="I48" s="6"/>
      <c r="J48" s="6"/>
      <c r="K48" s="6"/>
      <c r="L48" s="12"/>
      <c r="M48" s="6" t="s">
        <v>628</v>
      </c>
      <c r="N48" s="6" t="s">
        <v>627</v>
      </c>
    </row>
    <row r="49" spans="1:14">
      <c r="A49" s="6" t="s">
        <v>13</v>
      </c>
      <c r="B49" s="6" t="s">
        <v>766</v>
      </c>
      <c r="C49" s="1" t="s">
        <v>646</v>
      </c>
      <c r="D49" s="6">
        <v>128</v>
      </c>
      <c r="E49" s="6">
        <v>632</v>
      </c>
      <c r="F49" s="6"/>
      <c r="G49" s="6" t="s">
        <v>319</v>
      </c>
      <c r="H49" s="6">
        <f t="shared" si="1"/>
        <v>760</v>
      </c>
      <c r="I49" s="6"/>
      <c r="J49" s="6"/>
      <c r="K49" s="6"/>
      <c r="L49" s="12"/>
      <c r="M49" s="6" t="s">
        <v>616</v>
      </c>
      <c r="N49" s="6" t="s">
        <v>515</v>
      </c>
    </row>
    <row r="50" spans="1:14">
      <c r="A50" s="6" t="s">
        <v>615</v>
      </c>
      <c r="B50" s="6" t="s">
        <v>396</v>
      </c>
      <c r="C50" s="1" t="s">
        <v>549</v>
      </c>
      <c r="D50" s="6">
        <v>95</v>
      </c>
      <c r="E50" s="6">
        <v>541</v>
      </c>
      <c r="F50" s="6"/>
      <c r="G50" s="6" t="s">
        <v>319</v>
      </c>
      <c r="H50" s="6">
        <f t="shared" si="1"/>
        <v>636</v>
      </c>
      <c r="I50" s="6"/>
      <c r="J50" s="6"/>
      <c r="K50" s="6"/>
      <c r="L50" s="12"/>
      <c r="M50" s="6" t="s">
        <v>923</v>
      </c>
      <c r="N50" s="6" t="s">
        <v>515</v>
      </c>
    </row>
    <row r="51" spans="1:14">
      <c r="A51" s="6" t="s">
        <v>472</v>
      </c>
      <c r="B51" s="6" t="s">
        <v>195</v>
      </c>
      <c r="C51" s="1" t="s">
        <v>929</v>
      </c>
      <c r="D51" s="6">
        <v>440</v>
      </c>
      <c r="E51" s="6">
        <v>1666</v>
      </c>
      <c r="F51" s="6"/>
      <c r="G51" s="6" t="s">
        <v>319</v>
      </c>
      <c r="H51" s="6">
        <f t="shared" si="1"/>
        <v>2106</v>
      </c>
      <c r="I51" s="6"/>
      <c r="J51" s="6"/>
      <c r="K51" s="6"/>
      <c r="L51" s="12"/>
      <c r="M51" s="6" t="s">
        <v>636</v>
      </c>
      <c r="N51" s="6" t="s">
        <v>620</v>
      </c>
    </row>
    <row r="52" spans="1:14">
      <c r="A52" s="6" t="s">
        <v>363</v>
      </c>
      <c r="B52" s="6" t="s">
        <v>588</v>
      </c>
      <c r="C52" s="1" t="s">
        <v>680</v>
      </c>
      <c r="D52" s="6">
        <v>799</v>
      </c>
      <c r="E52" s="6">
        <v>0</v>
      </c>
      <c r="F52" s="6"/>
      <c r="G52" s="6" t="s">
        <v>319</v>
      </c>
      <c r="H52" s="6">
        <f t="shared" si="1"/>
        <v>799</v>
      </c>
      <c r="I52" s="6"/>
      <c r="J52" s="6"/>
      <c r="K52" s="6"/>
      <c r="L52" s="12"/>
      <c r="M52" s="6" t="s">
        <v>676</v>
      </c>
      <c r="N52" s="6" t="s">
        <v>972</v>
      </c>
    </row>
    <row r="53" spans="1:14">
      <c r="A53" s="6" t="s">
        <v>567</v>
      </c>
      <c r="B53" s="6" t="s">
        <v>273</v>
      </c>
      <c r="C53" s="1" t="s">
        <v>568</v>
      </c>
      <c r="D53" s="6">
        <v>120</v>
      </c>
      <c r="E53" s="6">
        <v>600</v>
      </c>
      <c r="F53" s="6"/>
      <c r="G53" s="6" t="s">
        <v>319</v>
      </c>
      <c r="H53" s="6">
        <f t="shared" si="1"/>
        <v>720</v>
      </c>
      <c r="I53" s="6"/>
      <c r="J53" s="6"/>
      <c r="K53" s="6"/>
      <c r="L53" s="12"/>
      <c r="M53" s="6" t="s">
        <v>923</v>
      </c>
      <c r="N53" s="6" t="s">
        <v>515</v>
      </c>
    </row>
    <row r="54" spans="1:14">
      <c r="A54" s="6" t="s">
        <v>610</v>
      </c>
      <c r="B54" s="6" t="s">
        <v>611</v>
      </c>
      <c r="C54" s="1" t="s">
        <v>612</v>
      </c>
      <c r="D54" s="6">
        <v>59</v>
      </c>
      <c r="E54" s="6">
        <v>133</v>
      </c>
      <c r="F54" s="6"/>
      <c r="G54" s="6" t="s">
        <v>319</v>
      </c>
      <c r="H54" s="6">
        <f t="shared" si="1"/>
        <v>192</v>
      </c>
      <c r="I54" s="6"/>
      <c r="J54" s="6"/>
      <c r="K54" s="6"/>
      <c r="L54" s="12"/>
      <c r="M54" s="6" t="s">
        <v>616</v>
      </c>
      <c r="N54" s="6" t="s">
        <v>514</v>
      </c>
    </row>
    <row r="55" spans="1:14">
      <c r="A55" s="6" t="s">
        <v>610</v>
      </c>
      <c r="B55" s="6" t="s">
        <v>611</v>
      </c>
      <c r="C55" s="1" t="s">
        <v>612</v>
      </c>
      <c r="D55" s="6">
        <v>59</v>
      </c>
      <c r="E55" s="6">
        <v>253</v>
      </c>
      <c r="F55" s="6"/>
      <c r="G55" s="6" t="s">
        <v>116</v>
      </c>
      <c r="H55" s="6">
        <f t="shared" si="1"/>
        <v>312</v>
      </c>
      <c r="I55" s="6">
        <v>312</v>
      </c>
      <c r="J55" s="6">
        <v>328</v>
      </c>
      <c r="K55" s="6">
        <f>J55-I55</f>
        <v>16</v>
      </c>
      <c r="L55" s="12">
        <f>ROUND(K55/I55,4)</f>
        <v>5.1299999999999998E-2</v>
      </c>
      <c r="M55" s="6" t="s">
        <v>616</v>
      </c>
      <c r="N55" s="6" t="s">
        <v>619</v>
      </c>
    </row>
    <row r="56" spans="1:14">
      <c r="A56" s="6" t="s">
        <v>580</v>
      </c>
      <c r="B56" s="6" t="s">
        <v>552</v>
      </c>
      <c r="C56" s="1" t="s">
        <v>614</v>
      </c>
      <c r="D56" s="6">
        <v>219</v>
      </c>
      <c r="E56" s="6">
        <v>0</v>
      </c>
      <c r="F56" s="6"/>
      <c r="G56" s="6" t="s">
        <v>116</v>
      </c>
      <c r="H56" s="6">
        <f t="shared" si="1"/>
        <v>219</v>
      </c>
      <c r="I56" s="6">
        <v>219</v>
      </c>
      <c r="J56" s="6">
        <v>0</v>
      </c>
      <c r="K56" s="6">
        <f>J56-I56</f>
        <v>-219</v>
      </c>
      <c r="L56" s="12">
        <f>ROUND(K56/I56,4)</f>
        <v>-1</v>
      </c>
      <c r="M56" s="6" t="s">
        <v>616</v>
      </c>
      <c r="N56" s="6" t="s">
        <v>641</v>
      </c>
    </row>
    <row r="57" spans="1:14">
      <c r="A57" s="6" t="s">
        <v>126</v>
      </c>
      <c r="B57" s="6" t="s">
        <v>127</v>
      </c>
      <c r="C57" s="1" t="s">
        <v>1093</v>
      </c>
      <c r="D57" s="6">
        <v>200</v>
      </c>
      <c r="E57" s="6">
        <v>805</v>
      </c>
      <c r="F57" s="6"/>
      <c r="G57" s="6" t="s">
        <v>319</v>
      </c>
      <c r="H57" s="6">
        <f t="shared" si="1"/>
        <v>1005</v>
      </c>
      <c r="I57" s="6"/>
      <c r="J57" s="6"/>
      <c r="K57" s="6"/>
      <c r="L57" s="12"/>
      <c r="M57" s="6" t="s">
        <v>635</v>
      </c>
      <c r="N57" s="6" t="s">
        <v>514</v>
      </c>
    </row>
    <row r="58" spans="1:14">
      <c r="A58" s="6" t="s">
        <v>577</v>
      </c>
      <c r="B58" s="6" t="s">
        <v>578</v>
      </c>
      <c r="C58" s="1" t="s">
        <v>579</v>
      </c>
      <c r="D58" s="6">
        <v>150</v>
      </c>
      <c r="E58" s="6">
        <v>791</v>
      </c>
      <c r="F58" s="6"/>
      <c r="G58" s="6" t="s">
        <v>116</v>
      </c>
      <c r="H58" s="6">
        <f t="shared" si="1"/>
        <v>941</v>
      </c>
      <c r="I58" s="6">
        <v>941</v>
      </c>
      <c r="J58" s="6">
        <v>875</v>
      </c>
      <c r="K58" s="6">
        <f>J58-I58</f>
        <v>-66</v>
      </c>
      <c r="L58" s="12">
        <f>ROUND(K58/I58,4)</f>
        <v>-7.0099999999999996E-2</v>
      </c>
      <c r="M58" s="6" t="s">
        <v>616</v>
      </c>
      <c r="N58" s="6" t="s">
        <v>637</v>
      </c>
    </row>
    <row r="59" spans="1:14">
      <c r="A59" s="6" t="s">
        <v>617</v>
      </c>
      <c r="B59" s="6" t="s">
        <v>467</v>
      </c>
      <c r="C59" s="1" t="s">
        <v>618</v>
      </c>
      <c r="D59" s="6">
        <v>165</v>
      </c>
      <c r="E59" s="6">
        <v>876</v>
      </c>
      <c r="F59" s="6"/>
      <c r="G59" s="6" t="s">
        <v>116</v>
      </c>
      <c r="H59" s="6">
        <f t="shared" si="1"/>
        <v>1041</v>
      </c>
      <c r="I59" s="6">
        <v>1041</v>
      </c>
      <c r="J59" s="6">
        <v>1391</v>
      </c>
      <c r="K59" s="6">
        <f>J59-I59</f>
        <v>350</v>
      </c>
      <c r="L59" s="12">
        <f>ROUND(K59/I59,4)</f>
        <v>0.3362</v>
      </c>
      <c r="M59" s="6" t="s">
        <v>616</v>
      </c>
      <c r="N59" s="6" t="s">
        <v>514</v>
      </c>
    </row>
    <row r="60" spans="1:14">
      <c r="A60" s="6" t="s">
        <v>613</v>
      </c>
      <c r="B60" s="6" t="s">
        <v>552</v>
      </c>
      <c r="C60" s="1" t="s">
        <v>553</v>
      </c>
      <c r="D60" s="6">
        <v>188</v>
      </c>
      <c r="E60" s="6">
        <v>955</v>
      </c>
      <c r="F60" s="6"/>
      <c r="G60" s="6" t="s">
        <v>319</v>
      </c>
      <c r="H60" s="6">
        <f t="shared" si="1"/>
        <v>1143</v>
      </c>
      <c r="I60" s="6"/>
      <c r="J60" s="6"/>
      <c r="K60" s="6"/>
      <c r="L60" s="12"/>
      <c r="M60" s="6" t="s">
        <v>616</v>
      </c>
      <c r="N60" s="6" t="s">
        <v>513</v>
      </c>
    </row>
    <row r="61" spans="1:14">
      <c r="A61" s="6" t="s">
        <v>13</v>
      </c>
      <c r="B61" s="6" t="s">
        <v>96</v>
      </c>
      <c r="C61" s="1" t="s">
        <v>729</v>
      </c>
      <c r="D61" s="6">
        <v>288</v>
      </c>
      <c r="E61" s="6">
        <v>1280</v>
      </c>
      <c r="F61" s="6"/>
      <c r="G61" s="6" t="s">
        <v>319</v>
      </c>
      <c r="H61" s="6">
        <f t="shared" si="1"/>
        <v>1568</v>
      </c>
      <c r="I61" s="6"/>
      <c r="J61" s="6"/>
      <c r="K61" s="6"/>
      <c r="L61" s="12"/>
      <c r="M61" s="6" t="s">
        <v>546</v>
      </c>
      <c r="N61" s="6" t="s">
        <v>637</v>
      </c>
    </row>
    <row r="62" spans="1:14">
      <c r="A62" s="6" t="s">
        <v>469</v>
      </c>
      <c r="B62" s="6" t="s">
        <v>460</v>
      </c>
      <c r="C62" s="1" t="s">
        <v>968</v>
      </c>
      <c r="D62" s="6">
        <v>156</v>
      </c>
      <c r="E62" s="6">
        <v>779</v>
      </c>
      <c r="F62" s="6"/>
      <c r="G62" s="6" t="s">
        <v>319</v>
      </c>
      <c r="H62" s="6">
        <f t="shared" si="1"/>
        <v>935</v>
      </c>
      <c r="I62" s="6"/>
      <c r="J62" s="6"/>
      <c r="K62" s="6"/>
      <c r="L62" s="12"/>
      <c r="M62" s="6" t="s">
        <v>616</v>
      </c>
      <c r="N62" s="6" t="s">
        <v>637</v>
      </c>
    </row>
    <row r="63" spans="1:14">
      <c r="A63" s="6" t="s">
        <v>13</v>
      </c>
      <c r="B63" s="6" t="s">
        <v>225</v>
      </c>
      <c r="C63" s="1" t="s">
        <v>967</v>
      </c>
      <c r="D63" s="6">
        <v>195</v>
      </c>
      <c r="E63" s="6">
        <v>441</v>
      </c>
      <c r="F63" s="6">
        <v>22</v>
      </c>
      <c r="G63" s="6" t="s">
        <v>319</v>
      </c>
      <c r="H63" s="6">
        <f t="shared" si="1"/>
        <v>658</v>
      </c>
      <c r="I63" s="6"/>
      <c r="J63" s="6"/>
      <c r="K63" s="6"/>
      <c r="L63" s="12"/>
      <c r="M63" s="6" t="s">
        <v>969</v>
      </c>
      <c r="N63" s="6" t="s">
        <v>637</v>
      </c>
    </row>
    <row r="64" spans="1:14">
      <c r="A64" s="6" t="s">
        <v>470</v>
      </c>
      <c r="B64" s="6" t="s">
        <v>273</v>
      </c>
      <c r="C64" s="1" t="s">
        <v>471</v>
      </c>
      <c r="D64" s="6">
        <v>67</v>
      </c>
      <c r="E64" s="6">
        <v>1136</v>
      </c>
      <c r="F64" s="6"/>
      <c r="G64" s="6" t="s">
        <v>116</v>
      </c>
      <c r="H64" s="6">
        <f t="shared" si="1"/>
        <v>1203</v>
      </c>
      <c r="I64" s="6">
        <v>1203</v>
      </c>
      <c r="J64" s="6">
        <v>1670</v>
      </c>
      <c r="K64" s="6">
        <f>J64-I64</f>
        <v>467</v>
      </c>
      <c r="L64" s="12">
        <f>ROUND(K64/I64,4)</f>
        <v>0.38819999999999999</v>
      </c>
      <c r="M64" s="6" t="s">
        <v>621</v>
      </c>
      <c r="N64" s="6" t="s">
        <v>515</v>
      </c>
    </row>
    <row r="65" spans="1:14">
      <c r="A65" s="6" t="s">
        <v>470</v>
      </c>
      <c r="B65" s="6" t="s">
        <v>273</v>
      </c>
      <c r="C65" s="1" t="s">
        <v>471</v>
      </c>
      <c r="D65" s="6">
        <v>67</v>
      </c>
      <c r="E65" s="6">
        <v>1136</v>
      </c>
      <c r="F65" s="6"/>
      <c r="G65" s="6" t="s">
        <v>116</v>
      </c>
      <c r="H65" s="6">
        <f t="shared" si="1"/>
        <v>1203</v>
      </c>
      <c r="I65" s="6">
        <v>1203</v>
      </c>
      <c r="J65" s="6">
        <v>1681</v>
      </c>
      <c r="K65" s="6">
        <f>J65-I65</f>
        <v>478</v>
      </c>
      <c r="L65" s="12">
        <f>ROUND(K65/I65,4)</f>
        <v>0.39729999999999999</v>
      </c>
      <c r="M65" s="6" t="s">
        <v>621</v>
      </c>
      <c r="N65" s="6" t="s">
        <v>515</v>
      </c>
    </row>
    <row r="66" spans="1:14">
      <c r="A66" s="6" t="s">
        <v>470</v>
      </c>
      <c r="B66" s="6" t="s">
        <v>273</v>
      </c>
      <c r="C66" s="1" t="s">
        <v>471</v>
      </c>
      <c r="D66" s="6">
        <v>67</v>
      </c>
      <c r="E66" s="6">
        <v>1136</v>
      </c>
      <c r="F66" s="6"/>
      <c r="G66" s="6" t="s">
        <v>319</v>
      </c>
      <c r="H66" s="6">
        <f t="shared" ref="H66:H94" si="2">D66+E66+F66</f>
        <v>1203</v>
      </c>
      <c r="I66" s="6"/>
      <c r="J66" s="6"/>
      <c r="K66" s="6"/>
      <c r="L66" s="12"/>
      <c r="M66" s="6" t="s">
        <v>621</v>
      </c>
      <c r="N66" s="6" t="s">
        <v>515</v>
      </c>
    </row>
    <row r="67" spans="1:14">
      <c r="A67" s="6" t="s">
        <v>605</v>
      </c>
      <c r="B67" s="6" t="s">
        <v>766</v>
      </c>
      <c r="C67" s="1" t="s">
        <v>767</v>
      </c>
      <c r="D67" s="6">
        <v>57</v>
      </c>
      <c r="E67" s="6">
        <v>544</v>
      </c>
      <c r="G67" s="6" t="s">
        <v>319</v>
      </c>
      <c r="H67" s="6">
        <f t="shared" si="2"/>
        <v>601</v>
      </c>
      <c r="M67" s="6" t="s">
        <v>542</v>
      </c>
      <c r="N67" s="6" t="s">
        <v>768</v>
      </c>
    </row>
    <row r="68" spans="1:14">
      <c r="A68" s="6" t="s">
        <v>721</v>
      </c>
      <c r="B68" s="6" t="s">
        <v>588</v>
      </c>
      <c r="C68" s="1" t="s">
        <v>722</v>
      </c>
      <c r="D68" s="6">
        <v>650</v>
      </c>
      <c r="E68" s="6">
        <v>0</v>
      </c>
      <c r="F68" s="6"/>
      <c r="G68" s="6" t="s">
        <v>319</v>
      </c>
      <c r="H68" s="6">
        <f t="shared" si="2"/>
        <v>650</v>
      </c>
      <c r="I68" s="6"/>
      <c r="J68" s="6"/>
      <c r="K68" s="6"/>
      <c r="L68" s="12"/>
      <c r="M68" s="6" t="s">
        <v>676</v>
      </c>
      <c r="N68" s="6" t="s">
        <v>1494</v>
      </c>
    </row>
    <row r="69" spans="1:14">
      <c r="A69" s="6" t="s">
        <v>574</v>
      </c>
      <c r="B69" s="6" t="s">
        <v>730</v>
      </c>
      <c r="C69" s="1" t="s">
        <v>764</v>
      </c>
      <c r="D69" s="6">
        <v>349</v>
      </c>
      <c r="E69" s="6">
        <v>1318</v>
      </c>
      <c r="F69" s="6"/>
      <c r="G69" s="6" t="s">
        <v>319</v>
      </c>
      <c r="H69" s="6">
        <f t="shared" si="2"/>
        <v>1667</v>
      </c>
      <c r="I69" s="6"/>
      <c r="J69" s="6"/>
      <c r="K69" s="6"/>
      <c r="L69" s="12"/>
      <c r="M69" s="6" t="s">
        <v>765</v>
      </c>
      <c r="N69" s="6" t="s">
        <v>513</v>
      </c>
    </row>
    <row r="70" spans="1:14">
      <c r="A70" s="6" t="s">
        <v>395</v>
      </c>
      <c r="B70" s="6" t="s">
        <v>544</v>
      </c>
      <c r="C70" s="1" t="s">
        <v>545</v>
      </c>
      <c r="D70" s="6">
        <v>285</v>
      </c>
      <c r="E70" s="6">
        <v>769</v>
      </c>
      <c r="F70" s="6"/>
      <c r="G70" s="6" t="s">
        <v>319</v>
      </c>
      <c r="H70" s="6">
        <f t="shared" si="2"/>
        <v>1054</v>
      </c>
      <c r="I70" s="6"/>
      <c r="J70" s="6"/>
      <c r="K70" s="6"/>
      <c r="L70" s="12"/>
      <c r="M70" s="6" t="s">
        <v>546</v>
      </c>
      <c r="N70" s="6" t="s">
        <v>1094</v>
      </c>
    </row>
    <row r="71" spans="1:14">
      <c r="A71" s="6" t="s">
        <v>252</v>
      </c>
      <c r="B71" s="6" t="s">
        <v>587</v>
      </c>
      <c r="C71" s="1" t="s">
        <v>761</v>
      </c>
      <c r="D71" s="6">
        <v>200</v>
      </c>
      <c r="E71" s="6">
        <v>867</v>
      </c>
      <c r="F71" s="6"/>
      <c r="G71" s="6" t="s">
        <v>319</v>
      </c>
      <c r="H71" s="6">
        <f t="shared" si="2"/>
        <v>1067</v>
      </c>
      <c r="I71" s="6"/>
      <c r="J71" s="6"/>
      <c r="K71" s="6"/>
      <c r="L71" s="12"/>
      <c r="M71" s="6" t="s">
        <v>616</v>
      </c>
      <c r="N71" s="6" t="s">
        <v>555</v>
      </c>
    </row>
    <row r="72" spans="1:14">
      <c r="A72" s="6" t="s">
        <v>580</v>
      </c>
      <c r="B72" s="6" t="s">
        <v>673</v>
      </c>
      <c r="C72" s="1" t="s">
        <v>551</v>
      </c>
      <c r="D72" s="6">
        <v>130</v>
      </c>
      <c r="E72" s="6">
        <v>677</v>
      </c>
      <c r="F72" s="6"/>
      <c r="G72" s="6" t="s">
        <v>319</v>
      </c>
      <c r="H72" s="6">
        <f t="shared" si="2"/>
        <v>807</v>
      </c>
      <c r="I72" s="6"/>
      <c r="J72" s="6"/>
      <c r="K72" s="6"/>
      <c r="L72" s="12"/>
      <c r="M72" s="6" t="s">
        <v>616</v>
      </c>
      <c r="N72" s="6" t="s">
        <v>555</v>
      </c>
    </row>
    <row r="73" spans="1:14">
      <c r="A73" s="6" t="s">
        <v>363</v>
      </c>
      <c r="B73" s="6" t="s">
        <v>669</v>
      </c>
      <c r="C73" s="1" t="s">
        <v>680</v>
      </c>
      <c r="D73" s="6">
        <v>421</v>
      </c>
      <c r="E73" s="6">
        <v>0</v>
      </c>
      <c r="F73" s="6"/>
      <c r="G73" s="6" t="s">
        <v>319</v>
      </c>
      <c r="H73" s="6">
        <f t="shared" si="2"/>
        <v>421</v>
      </c>
      <c r="I73" s="6"/>
      <c r="J73" s="6"/>
      <c r="K73" s="6"/>
      <c r="L73" s="12"/>
      <c r="M73" s="6" t="s">
        <v>807</v>
      </c>
      <c r="N73" s="6" t="s">
        <v>555</v>
      </c>
    </row>
    <row r="74" spans="1:14">
      <c r="A74" s="6" t="s">
        <v>574</v>
      </c>
      <c r="B74" s="6" t="s">
        <v>730</v>
      </c>
      <c r="C74" s="1" t="s">
        <v>1010</v>
      </c>
      <c r="D74" s="6">
        <v>395</v>
      </c>
      <c r="E74" s="6">
        <v>1369</v>
      </c>
      <c r="F74" s="6"/>
      <c r="G74" s="6" t="s">
        <v>116</v>
      </c>
      <c r="H74" s="6">
        <f t="shared" si="2"/>
        <v>1764</v>
      </c>
      <c r="I74" s="6">
        <v>1764</v>
      </c>
      <c r="J74" s="6">
        <v>1690</v>
      </c>
      <c r="K74" s="6">
        <f>J74-I74</f>
        <v>-74</v>
      </c>
      <c r="L74" s="12">
        <f>ROUND(K74/I74,4)</f>
        <v>-4.2000000000000003E-2</v>
      </c>
      <c r="M74" s="6" t="s">
        <v>765</v>
      </c>
      <c r="N74" s="6" t="s">
        <v>679</v>
      </c>
    </row>
    <row r="75" spans="1:14">
      <c r="A75" s="6" t="s">
        <v>650</v>
      </c>
      <c r="B75" s="6" t="s">
        <v>649</v>
      </c>
      <c r="C75" s="1" t="s">
        <v>648</v>
      </c>
      <c r="D75" s="6">
        <v>105</v>
      </c>
      <c r="E75" s="6">
        <v>447</v>
      </c>
      <c r="F75" s="6"/>
      <c r="G75" s="6" t="s">
        <v>319</v>
      </c>
      <c r="H75" s="6">
        <f t="shared" si="2"/>
        <v>552</v>
      </c>
      <c r="I75" s="6"/>
      <c r="J75" s="6"/>
      <c r="K75" s="6"/>
      <c r="L75" s="12"/>
      <c r="M75" s="6" t="s">
        <v>616</v>
      </c>
      <c r="N75" s="6" t="s">
        <v>679</v>
      </c>
    </row>
    <row r="76" spans="1:14">
      <c r="A76" s="6" t="s">
        <v>650</v>
      </c>
      <c r="B76" s="6" t="s">
        <v>649</v>
      </c>
      <c r="C76" s="1" t="s">
        <v>648</v>
      </c>
      <c r="D76" s="6">
        <v>105</v>
      </c>
      <c r="E76" s="6">
        <v>533</v>
      </c>
      <c r="F76" s="6"/>
      <c r="G76" s="6" t="s">
        <v>116</v>
      </c>
      <c r="H76" s="6">
        <f t="shared" si="2"/>
        <v>638</v>
      </c>
      <c r="I76" s="6">
        <v>638</v>
      </c>
      <c r="J76" s="6">
        <v>586</v>
      </c>
      <c r="K76" s="6">
        <f>J76-I76</f>
        <v>-52</v>
      </c>
      <c r="L76" s="12">
        <f>ROUND(K76/I76,4)</f>
        <v>-8.1500000000000003E-2</v>
      </c>
      <c r="M76" s="6" t="s">
        <v>616</v>
      </c>
      <c r="N76" s="6" t="s">
        <v>679</v>
      </c>
    </row>
    <row r="77" spans="1:14">
      <c r="A77" s="21"/>
      <c r="B77" s="6" t="s">
        <v>896</v>
      </c>
      <c r="C77" s="1" t="s">
        <v>778</v>
      </c>
      <c r="D77" s="6">
        <v>115</v>
      </c>
      <c r="E77" s="6">
        <v>568</v>
      </c>
      <c r="F77" s="6"/>
      <c r="G77" s="6" t="s">
        <v>116</v>
      </c>
      <c r="H77" s="6">
        <f t="shared" si="2"/>
        <v>683</v>
      </c>
      <c r="I77" s="6">
        <v>683</v>
      </c>
      <c r="J77" s="6">
        <v>596</v>
      </c>
      <c r="K77" s="6">
        <f>J77-I77</f>
        <v>-87</v>
      </c>
      <c r="L77" s="12">
        <f>ROUND(K77/I77,4)</f>
        <v>-0.12740000000000001</v>
      </c>
      <c r="M77" s="6" t="s">
        <v>616</v>
      </c>
      <c r="N77" s="6" t="s">
        <v>679</v>
      </c>
    </row>
    <row r="78" spans="1:14">
      <c r="A78" s="6" t="s">
        <v>652</v>
      </c>
      <c r="B78" s="6" t="s">
        <v>651</v>
      </c>
      <c r="C78" s="1" t="s">
        <v>653</v>
      </c>
      <c r="D78" s="6">
        <v>169</v>
      </c>
      <c r="E78" s="6">
        <v>860</v>
      </c>
      <c r="F78" s="6"/>
      <c r="G78" s="6" t="s">
        <v>116</v>
      </c>
      <c r="H78" s="6">
        <f t="shared" si="2"/>
        <v>1029</v>
      </c>
      <c r="I78" s="6">
        <v>1029</v>
      </c>
      <c r="J78" s="6">
        <v>939</v>
      </c>
      <c r="K78" s="6">
        <f>J78-I78</f>
        <v>-90</v>
      </c>
      <c r="L78" s="12">
        <f>ROUND(K78/I78,4)</f>
        <v>-8.7499999999999994E-2</v>
      </c>
      <c r="M78" s="6" t="s">
        <v>616</v>
      </c>
      <c r="N78" s="6" t="s">
        <v>654</v>
      </c>
    </row>
    <row r="79" spans="1:14">
      <c r="A79" s="6" t="s">
        <v>749</v>
      </c>
      <c r="B79" s="6" t="s">
        <v>669</v>
      </c>
      <c r="C79" s="1" t="s">
        <v>892</v>
      </c>
      <c r="D79" s="6">
        <v>167</v>
      </c>
      <c r="E79" s="6">
        <v>846</v>
      </c>
      <c r="G79" s="6" t="s">
        <v>319</v>
      </c>
      <c r="H79" s="6">
        <f t="shared" si="2"/>
        <v>1013</v>
      </c>
      <c r="M79" s="6" t="s">
        <v>655</v>
      </c>
      <c r="N79" s="6" t="s">
        <v>674</v>
      </c>
    </row>
    <row r="80" spans="1:14">
      <c r="A80" s="6" t="s">
        <v>363</v>
      </c>
      <c r="B80" s="6" t="s">
        <v>669</v>
      </c>
      <c r="C80" s="1" t="s">
        <v>891</v>
      </c>
      <c r="D80" s="6">
        <v>35</v>
      </c>
      <c r="E80" s="6">
        <v>336</v>
      </c>
      <c r="F80" s="6"/>
      <c r="G80" s="6" t="s">
        <v>319</v>
      </c>
      <c r="H80" s="6">
        <f t="shared" si="2"/>
        <v>371</v>
      </c>
      <c r="I80" s="6"/>
      <c r="J80" s="6"/>
      <c r="K80" s="6"/>
      <c r="L80" s="12"/>
      <c r="M80" s="6" t="s">
        <v>655</v>
      </c>
      <c r="N80" s="6" t="s">
        <v>674</v>
      </c>
    </row>
    <row r="81" spans="1:14">
      <c r="A81" s="6" t="s">
        <v>1083</v>
      </c>
      <c r="B81" s="6" t="s">
        <v>273</v>
      </c>
      <c r="C81" s="1" t="s">
        <v>1082</v>
      </c>
      <c r="D81" s="6">
        <v>160</v>
      </c>
      <c r="E81" s="6">
        <v>1109</v>
      </c>
      <c r="F81" s="6"/>
      <c r="G81" s="6" t="s">
        <v>116</v>
      </c>
      <c r="H81" s="6">
        <f t="shared" si="2"/>
        <v>1269</v>
      </c>
      <c r="I81" s="6">
        <v>1269</v>
      </c>
      <c r="J81" s="6">
        <v>1193</v>
      </c>
      <c r="K81" s="6">
        <f>J81-I81</f>
        <v>-76</v>
      </c>
      <c r="L81" s="12">
        <f>ROUND(K81/I81,4)</f>
        <v>-5.9900000000000002E-2</v>
      </c>
      <c r="M81" s="6" t="s">
        <v>628</v>
      </c>
      <c r="N81" s="6" t="s">
        <v>674</v>
      </c>
    </row>
    <row r="82" spans="1:14">
      <c r="A82" s="6" t="s">
        <v>744</v>
      </c>
      <c r="B82" s="6" t="s">
        <v>590</v>
      </c>
      <c r="C82" s="1" t="s">
        <v>743</v>
      </c>
      <c r="D82" s="6">
        <v>284</v>
      </c>
      <c r="E82" s="6">
        <v>1006</v>
      </c>
      <c r="F82" s="6"/>
      <c r="G82" s="6" t="s">
        <v>319</v>
      </c>
      <c r="H82" s="6">
        <f t="shared" si="2"/>
        <v>1290</v>
      </c>
      <c r="I82" s="6"/>
      <c r="J82" s="6"/>
      <c r="K82" s="6"/>
      <c r="L82" s="12"/>
      <c r="M82" s="6" t="s">
        <v>655</v>
      </c>
      <c r="N82" s="6" t="s">
        <v>674</v>
      </c>
    </row>
    <row r="83" spans="1:14">
      <c r="A83" s="6" t="s">
        <v>600</v>
      </c>
      <c r="B83" s="6" t="s">
        <v>273</v>
      </c>
      <c r="C83" s="1" t="s">
        <v>1085</v>
      </c>
      <c r="D83" s="6">
        <v>42</v>
      </c>
      <c r="E83" s="6">
        <v>396</v>
      </c>
      <c r="F83" s="6"/>
      <c r="G83" s="6" t="s">
        <v>319</v>
      </c>
      <c r="H83" s="6">
        <f t="shared" si="2"/>
        <v>438</v>
      </c>
      <c r="I83" s="6"/>
      <c r="J83" s="6"/>
      <c r="K83" s="6"/>
      <c r="L83" s="12"/>
      <c r="M83" s="6" t="s">
        <v>628</v>
      </c>
      <c r="N83" s="6" t="s">
        <v>674</v>
      </c>
    </row>
    <row r="84" spans="1:14">
      <c r="A84" s="6" t="s">
        <v>13</v>
      </c>
      <c r="B84" s="6" t="s">
        <v>669</v>
      </c>
      <c r="C84" s="1" t="s">
        <v>903</v>
      </c>
      <c r="D84" s="6">
        <v>372</v>
      </c>
      <c r="E84" s="6">
        <v>0</v>
      </c>
      <c r="G84" s="6" t="s">
        <v>319</v>
      </c>
      <c r="H84" s="6">
        <f t="shared" si="2"/>
        <v>372</v>
      </c>
      <c r="M84" s="6" t="s">
        <v>807</v>
      </c>
      <c r="N84" s="6" t="s">
        <v>674</v>
      </c>
    </row>
    <row r="85" spans="1:14">
      <c r="A85" s="6" t="s">
        <v>770</v>
      </c>
      <c r="B85" s="6" t="s">
        <v>651</v>
      </c>
      <c r="C85" s="1" t="s">
        <v>857</v>
      </c>
      <c r="D85" s="6">
        <v>760</v>
      </c>
      <c r="E85" s="6">
        <v>0</v>
      </c>
      <c r="F85" s="6"/>
      <c r="G85" s="6" t="s">
        <v>319</v>
      </c>
      <c r="H85" s="6">
        <f t="shared" si="2"/>
        <v>760</v>
      </c>
      <c r="I85" s="6"/>
      <c r="J85" s="6"/>
      <c r="K85" s="6"/>
      <c r="L85" s="12"/>
      <c r="M85" s="6" t="s">
        <v>676</v>
      </c>
      <c r="N85" s="6" t="s">
        <v>674</v>
      </c>
    </row>
    <row r="86" spans="1:14">
      <c r="A86" s="6" t="s">
        <v>598</v>
      </c>
      <c r="B86" s="6" t="s">
        <v>804</v>
      </c>
      <c r="C86" s="1" t="s">
        <v>805</v>
      </c>
      <c r="D86" s="6">
        <v>582</v>
      </c>
      <c r="E86" s="6">
        <v>0</v>
      </c>
      <c r="G86" s="6" t="s">
        <v>319</v>
      </c>
      <c r="H86" s="6">
        <f t="shared" si="2"/>
        <v>582</v>
      </c>
      <c r="M86" s="6" t="s">
        <v>806</v>
      </c>
      <c r="N86" s="6" t="s">
        <v>647</v>
      </c>
    </row>
    <row r="87" spans="1:14">
      <c r="A87" s="6" t="s">
        <v>749</v>
      </c>
      <c r="B87" s="6" t="s">
        <v>669</v>
      </c>
      <c r="C87" s="1" t="s">
        <v>893</v>
      </c>
      <c r="D87" s="6">
        <v>158</v>
      </c>
      <c r="E87" s="6">
        <v>786</v>
      </c>
      <c r="G87" s="6" t="s">
        <v>319</v>
      </c>
      <c r="H87" s="6">
        <f t="shared" si="2"/>
        <v>944</v>
      </c>
      <c r="M87" s="6" t="s">
        <v>655</v>
      </c>
      <c r="N87" s="6" t="s">
        <v>674</v>
      </c>
    </row>
    <row r="88" spans="1:14">
      <c r="A88" s="1" t="s">
        <v>895</v>
      </c>
      <c r="B88" s="6" t="s">
        <v>894</v>
      </c>
      <c r="C88" s="1" t="s">
        <v>965</v>
      </c>
      <c r="D88" s="6">
        <v>259</v>
      </c>
      <c r="E88" s="6">
        <v>894</v>
      </c>
      <c r="G88" s="6" t="s">
        <v>319</v>
      </c>
      <c r="H88" s="6">
        <f t="shared" si="2"/>
        <v>1153</v>
      </c>
      <c r="M88" s="6" t="s">
        <v>526</v>
      </c>
      <c r="N88" s="6" t="s">
        <v>1092</v>
      </c>
    </row>
    <row r="89" spans="1:14">
      <c r="A89" s="6" t="s">
        <v>731</v>
      </c>
      <c r="B89" s="18" t="s">
        <v>772</v>
      </c>
      <c r="C89" s="1" t="s">
        <v>771</v>
      </c>
      <c r="D89" s="6">
        <v>150</v>
      </c>
      <c r="E89" s="6">
        <v>685</v>
      </c>
      <c r="F89" s="6"/>
      <c r="G89" s="6" t="s">
        <v>319</v>
      </c>
      <c r="H89" s="6">
        <f t="shared" si="2"/>
        <v>835</v>
      </c>
      <c r="I89" s="6"/>
      <c r="J89" s="6"/>
      <c r="K89" s="6"/>
      <c r="L89" s="12"/>
      <c r="M89" s="6" t="s">
        <v>616</v>
      </c>
      <c r="N89" s="6" t="s">
        <v>674</v>
      </c>
    </row>
    <row r="90" spans="1:14">
      <c r="A90" t="s">
        <v>859</v>
      </c>
      <c r="B90" s="6" t="s">
        <v>552</v>
      </c>
      <c r="C90" s="1" t="s">
        <v>858</v>
      </c>
      <c r="D90" s="6">
        <v>131</v>
      </c>
      <c r="E90" s="6">
        <v>665</v>
      </c>
      <c r="G90" s="6" t="s">
        <v>319</v>
      </c>
      <c r="H90" s="6">
        <f t="shared" si="2"/>
        <v>796</v>
      </c>
      <c r="M90" s="6" t="s">
        <v>616</v>
      </c>
      <c r="N90" s="6" t="s">
        <v>732</v>
      </c>
    </row>
    <row r="91" spans="1:14">
      <c r="A91" t="s">
        <v>859</v>
      </c>
      <c r="B91" s="6" t="s">
        <v>552</v>
      </c>
      <c r="C91" s="1" t="s">
        <v>1096</v>
      </c>
      <c r="D91" s="6">
        <v>131</v>
      </c>
      <c r="E91" s="6">
        <v>633</v>
      </c>
      <c r="G91" s="6" t="s">
        <v>319</v>
      </c>
      <c r="H91" s="6">
        <f t="shared" si="2"/>
        <v>764</v>
      </c>
      <c r="M91" s="6" t="s">
        <v>616</v>
      </c>
      <c r="N91" s="6" t="s">
        <v>732</v>
      </c>
    </row>
    <row r="92" spans="1:14">
      <c r="A92" s="6" t="s">
        <v>693</v>
      </c>
      <c r="B92" s="6" t="s">
        <v>669</v>
      </c>
      <c r="C92" s="1" t="s">
        <v>680</v>
      </c>
      <c r="D92" s="6">
        <v>193</v>
      </c>
      <c r="E92" s="6">
        <v>939</v>
      </c>
      <c r="G92" s="6" t="s">
        <v>319</v>
      </c>
      <c r="H92" s="6">
        <f t="shared" si="2"/>
        <v>1132</v>
      </c>
      <c r="M92" s="6" t="s">
        <v>748</v>
      </c>
      <c r="N92" s="6" t="s">
        <v>732</v>
      </c>
    </row>
    <row r="93" spans="1:14">
      <c r="A93" s="6" t="s">
        <v>754</v>
      </c>
      <c r="B93" s="6" t="s">
        <v>127</v>
      </c>
      <c r="C93" s="1" t="s">
        <v>733</v>
      </c>
      <c r="D93" s="6">
        <v>235</v>
      </c>
      <c r="E93" s="6">
        <v>830</v>
      </c>
      <c r="F93" s="6"/>
      <c r="G93" s="6" t="s">
        <v>319</v>
      </c>
      <c r="H93" s="6">
        <f t="shared" si="2"/>
        <v>1065</v>
      </c>
      <c r="I93" s="6"/>
      <c r="J93" s="6"/>
      <c r="K93" s="6"/>
      <c r="L93" s="12"/>
      <c r="M93" s="6" t="s">
        <v>526</v>
      </c>
      <c r="N93" s="6" t="s">
        <v>732</v>
      </c>
    </row>
    <row r="94" spans="1:14">
      <c r="A94" s="1"/>
      <c r="B94" s="6" t="s">
        <v>978</v>
      </c>
      <c r="C94" s="1" t="s">
        <v>977</v>
      </c>
      <c r="D94" s="6">
        <v>29</v>
      </c>
      <c r="E94" s="6">
        <v>129</v>
      </c>
      <c r="G94" s="6" t="s">
        <v>319</v>
      </c>
      <c r="H94" s="6">
        <f t="shared" si="2"/>
        <v>158</v>
      </c>
      <c r="M94" s="6" t="s">
        <v>748</v>
      </c>
      <c r="N94" s="6" t="s">
        <v>732</v>
      </c>
    </row>
    <row r="95" spans="1:14">
      <c r="A95" s="6" t="s">
        <v>747</v>
      </c>
      <c r="B95" s="6" t="s">
        <v>746</v>
      </c>
      <c r="C95" s="1" t="s">
        <v>745</v>
      </c>
      <c r="D95" s="6">
        <v>180</v>
      </c>
      <c r="E95" s="6">
        <v>788</v>
      </c>
      <c r="F95" s="6"/>
      <c r="G95" s="6" t="s">
        <v>319</v>
      </c>
      <c r="H95" s="6">
        <f>D95+E95+F95</f>
        <v>968</v>
      </c>
      <c r="I95" s="6"/>
      <c r="J95" s="6"/>
      <c r="K95" s="6"/>
      <c r="L95" s="12"/>
      <c r="M95" s="6" t="s">
        <v>748</v>
      </c>
      <c r="N95" s="6" t="s">
        <v>802</v>
      </c>
    </row>
    <row r="96" spans="1:14">
      <c r="A96" s="6" t="s">
        <v>758</v>
      </c>
      <c r="B96" s="6" t="s">
        <v>127</v>
      </c>
      <c r="C96" s="1" t="s">
        <v>755</v>
      </c>
      <c r="D96" s="6">
        <v>244</v>
      </c>
      <c r="E96" s="6">
        <v>1028</v>
      </c>
      <c r="F96" s="6"/>
      <c r="G96" s="6" t="s">
        <v>319</v>
      </c>
      <c r="H96" s="6">
        <f>D96+E96+F96</f>
        <v>1272</v>
      </c>
      <c r="I96" s="6"/>
      <c r="J96" s="6"/>
      <c r="K96" s="6"/>
      <c r="L96" s="12"/>
      <c r="M96" s="6" t="s">
        <v>526</v>
      </c>
      <c r="N96" s="6" t="s">
        <v>800</v>
      </c>
    </row>
    <row r="97" spans="1:14">
      <c r="A97" s="6" t="s">
        <v>888</v>
      </c>
      <c r="B97" s="6" t="s">
        <v>890</v>
      </c>
      <c r="C97" s="1" t="s">
        <v>956</v>
      </c>
      <c r="D97" s="6">
        <v>256</v>
      </c>
      <c r="E97" s="6">
        <v>1241</v>
      </c>
      <c r="G97" s="6" t="s">
        <v>319</v>
      </c>
      <c r="H97" s="6">
        <f>D97+E97+F97</f>
        <v>1497</v>
      </c>
      <c r="M97" s="6" t="s">
        <v>526</v>
      </c>
      <c r="N97" s="6" t="s">
        <v>1766</v>
      </c>
    </row>
    <row r="98" spans="1:14">
      <c r="A98" s="6" t="s">
        <v>757</v>
      </c>
      <c r="B98" s="6" t="s">
        <v>544</v>
      </c>
      <c r="C98" s="1" t="s">
        <v>756</v>
      </c>
      <c r="D98" s="6">
        <v>139</v>
      </c>
      <c r="E98" s="6">
        <v>681</v>
      </c>
      <c r="F98" s="6"/>
      <c r="G98" s="6" t="s">
        <v>319</v>
      </c>
      <c r="H98" s="6">
        <f t="shared" ref="H98:H105" si="3">D98+E98+F98</f>
        <v>820</v>
      </c>
      <c r="I98" s="6"/>
      <c r="J98" s="6"/>
      <c r="K98" s="6"/>
      <c r="L98" s="12"/>
      <c r="M98" s="6" t="s">
        <v>655</v>
      </c>
      <c r="N98" s="6" t="s">
        <v>802</v>
      </c>
    </row>
    <row r="99" spans="1:14">
      <c r="A99" s="6" t="s">
        <v>126</v>
      </c>
      <c r="B99" s="6" t="s">
        <v>127</v>
      </c>
      <c r="C99" s="1" t="s">
        <v>964</v>
      </c>
      <c r="D99" s="6">
        <v>175</v>
      </c>
      <c r="E99" s="6">
        <v>850</v>
      </c>
      <c r="F99" s="6"/>
      <c r="G99" s="6" t="s">
        <v>319</v>
      </c>
      <c r="H99" s="6">
        <f t="shared" si="3"/>
        <v>1025</v>
      </c>
      <c r="I99" s="6"/>
      <c r="J99" s="6"/>
      <c r="K99" s="6"/>
      <c r="L99" s="12"/>
      <c r="M99" s="6" t="s">
        <v>526</v>
      </c>
      <c r="N99" s="6" t="s">
        <v>800</v>
      </c>
    </row>
    <row r="100" spans="1:14" s="23" customFormat="1">
      <c r="A100" s="21" t="s">
        <v>600</v>
      </c>
      <c r="B100" s="21" t="s">
        <v>544</v>
      </c>
      <c r="C100" s="21" t="s">
        <v>801</v>
      </c>
      <c r="D100" s="21">
        <v>72</v>
      </c>
      <c r="H100" s="21">
        <f t="shared" si="3"/>
        <v>72</v>
      </c>
      <c r="I100" s="21">
        <v>72</v>
      </c>
      <c r="J100" s="21">
        <v>0</v>
      </c>
      <c r="K100" s="21">
        <f>J100-I100</f>
        <v>-72</v>
      </c>
      <c r="L100" s="24">
        <f>ROUND(K100/I100,4)</f>
        <v>-1</v>
      </c>
      <c r="M100" s="21" t="s">
        <v>546</v>
      </c>
      <c r="N100" s="21" t="s">
        <v>1582</v>
      </c>
    </row>
    <row r="101" spans="1:14">
      <c r="A101" s="1" t="s">
        <v>900</v>
      </c>
      <c r="B101" s="18" t="s">
        <v>1115</v>
      </c>
      <c r="C101" s="1" t="s">
        <v>1114</v>
      </c>
      <c r="D101" s="6">
        <v>170</v>
      </c>
      <c r="E101" s="6">
        <v>698</v>
      </c>
      <c r="G101" s="6" t="s">
        <v>319</v>
      </c>
      <c r="H101" s="6">
        <f t="shared" si="3"/>
        <v>868</v>
      </c>
      <c r="M101" s="6" t="s">
        <v>887</v>
      </c>
      <c r="N101" s="6" t="s">
        <v>800</v>
      </c>
    </row>
    <row r="102" spans="1:14">
      <c r="A102" s="1" t="s">
        <v>1027</v>
      </c>
      <c r="B102" s="6" t="s">
        <v>588</v>
      </c>
      <c r="C102" s="1" t="s">
        <v>612</v>
      </c>
      <c r="D102" s="6">
        <v>815</v>
      </c>
      <c r="E102" s="6"/>
      <c r="G102" s="6" t="s">
        <v>319</v>
      </c>
      <c r="H102" s="6">
        <f t="shared" si="3"/>
        <v>815</v>
      </c>
      <c r="M102" s="6" t="s">
        <v>807</v>
      </c>
      <c r="N102" s="6" t="s">
        <v>800</v>
      </c>
    </row>
    <row r="103" spans="1:14" s="23" customFormat="1">
      <c r="A103" s="21" t="s">
        <v>770</v>
      </c>
      <c r="B103" s="21" t="s">
        <v>331</v>
      </c>
      <c r="C103" s="21" t="s">
        <v>769</v>
      </c>
      <c r="D103" s="21">
        <v>0</v>
      </c>
      <c r="E103" s="21"/>
      <c r="F103" s="21"/>
      <c r="G103" s="21" t="s">
        <v>319</v>
      </c>
      <c r="H103" s="21">
        <f t="shared" si="3"/>
        <v>0</v>
      </c>
      <c r="I103" s="21"/>
      <c r="J103" s="21"/>
      <c r="K103" s="21"/>
      <c r="L103" s="24"/>
      <c r="M103" s="21" t="s">
        <v>676</v>
      </c>
      <c r="N103" s="21" t="s">
        <v>1605</v>
      </c>
    </row>
    <row r="104" spans="1:14">
      <c r="A104" s="6" t="s">
        <v>13</v>
      </c>
      <c r="B104" s="6" t="s">
        <v>669</v>
      </c>
      <c r="C104" s="1" t="s">
        <v>1240</v>
      </c>
      <c r="D104" s="6">
        <v>372</v>
      </c>
      <c r="G104" s="6" t="s">
        <v>319</v>
      </c>
      <c r="H104" s="6">
        <f t="shared" si="3"/>
        <v>372</v>
      </c>
      <c r="M104" s="6" t="s">
        <v>806</v>
      </c>
      <c r="N104" s="6" t="s">
        <v>800</v>
      </c>
    </row>
    <row r="105" spans="1:14" s="20" customFormat="1">
      <c r="A105" s="6" t="s">
        <v>955</v>
      </c>
      <c r="B105" s="6" t="s">
        <v>651</v>
      </c>
      <c r="C105" s="6" t="s">
        <v>954</v>
      </c>
      <c r="D105" s="6">
        <v>88</v>
      </c>
      <c r="E105" s="6">
        <v>375</v>
      </c>
      <c r="G105" s="6" t="s">
        <v>319</v>
      </c>
      <c r="H105" s="6">
        <f t="shared" si="3"/>
        <v>463</v>
      </c>
      <c r="M105" s="6" t="s">
        <v>526</v>
      </c>
      <c r="N105" s="6" t="s">
        <v>981</v>
      </c>
    </row>
    <row r="106" spans="1:14" s="20" customFormat="1">
      <c r="A106" s="6" t="s">
        <v>980</v>
      </c>
      <c r="B106" s="6" t="s">
        <v>273</v>
      </c>
      <c r="C106" s="6" t="s">
        <v>979</v>
      </c>
      <c r="D106" s="6">
        <v>168</v>
      </c>
      <c r="E106" s="6">
        <v>667</v>
      </c>
      <c r="G106" s="6" t="s">
        <v>319</v>
      </c>
      <c r="H106" s="6">
        <f>D106+E106+F106</f>
        <v>835</v>
      </c>
      <c r="M106" s="6" t="s">
        <v>655</v>
      </c>
      <c r="N106" s="6" t="s">
        <v>981</v>
      </c>
    </row>
    <row r="107" spans="1:14" s="20" customFormat="1">
      <c r="A107" s="6" t="s">
        <v>749</v>
      </c>
      <c r="B107" s="6" t="s">
        <v>669</v>
      </c>
      <c r="C107" s="6" t="s">
        <v>1642</v>
      </c>
      <c r="D107" s="6">
        <v>173</v>
      </c>
      <c r="E107" s="6">
        <v>599</v>
      </c>
      <c r="G107" s="6" t="s">
        <v>319</v>
      </c>
      <c r="H107" s="6">
        <f>D107+E107+F107</f>
        <v>772</v>
      </c>
      <c r="M107" s="6" t="s">
        <v>655</v>
      </c>
      <c r="N107" s="6" t="s">
        <v>910</v>
      </c>
    </row>
    <row r="108" spans="1:14">
      <c r="A108" s="6" t="s">
        <v>744</v>
      </c>
      <c r="B108" s="6" t="s">
        <v>590</v>
      </c>
      <c r="C108" s="1" t="s">
        <v>1753</v>
      </c>
      <c r="D108" s="6">
        <v>202</v>
      </c>
      <c r="E108" s="6">
        <v>661</v>
      </c>
      <c r="F108" s="6"/>
      <c r="G108" s="6" t="s">
        <v>319</v>
      </c>
      <c r="H108" s="6">
        <f>D108+E108+F108</f>
        <v>863</v>
      </c>
      <c r="I108" s="6"/>
      <c r="J108" s="6"/>
      <c r="K108" s="6"/>
      <c r="L108" s="12"/>
      <c r="M108" s="6" t="s">
        <v>655</v>
      </c>
      <c r="N108" s="6" t="s">
        <v>905</v>
      </c>
    </row>
    <row r="109" spans="1:14" s="20" customFormat="1">
      <c r="A109" s="6" t="s">
        <v>600</v>
      </c>
      <c r="B109" s="6" t="s">
        <v>273</v>
      </c>
      <c r="C109" s="6" t="s">
        <v>911</v>
      </c>
      <c r="D109" s="6">
        <v>333</v>
      </c>
      <c r="G109" s="6" t="s">
        <v>319</v>
      </c>
      <c r="H109" s="6">
        <f>D109+E109+F109</f>
        <v>333</v>
      </c>
      <c r="M109" s="6" t="s">
        <v>748</v>
      </c>
      <c r="N109" s="6" t="s">
        <v>905</v>
      </c>
    </row>
    <row r="110" spans="1:14" s="20" customFormat="1">
      <c r="B110" s="6" t="s">
        <v>127</v>
      </c>
      <c r="C110" s="6" t="s">
        <v>962</v>
      </c>
      <c r="D110" s="6">
        <v>215</v>
      </c>
      <c r="G110" s="6" t="s">
        <v>319</v>
      </c>
      <c r="H110" s="6">
        <f>D110+E110+F110</f>
        <v>215</v>
      </c>
      <c r="M110" s="6" t="s">
        <v>748</v>
      </c>
      <c r="N110" s="6" t="s">
        <v>905</v>
      </c>
    </row>
    <row r="113" spans="1:14" s="23" customFormat="1">
      <c r="A113" s="21" t="s">
        <v>770</v>
      </c>
      <c r="B113" s="21" t="s">
        <v>651</v>
      </c>
      <c r="C113" s="21" t="s">
        <v>904</v>
      </c>
      <c r="D113" s="21">
        <v>158</v>
      </c>
      <c r="E113" s="21"/>
      <c r="H113" s="21">
        <f t="shared" ref="H113:H140" si="4">D113+E113+F113</f>
        <v>158</v>
      </c>
      <c r="M113" s="21" t="s">
        <v>655</v>
      </c>
      <c r="N113" s="21" t="s">
        <v>905</v>
      </c>
    </row>
    <row r="114" spans="1:14" s="20" customFormat="1">
      <c r="A114" s="6" t="s">
        <v>395</v>
      </c>
      <c r="B114" s="6" t="s">
        <v>273</v>
      </c>
      <c r="C114" s="6" t="s">
        <v>951</v>
      </c>
      <c r="D114" s="6">
        <v>163</v>
      </c>
      <c r="H114" s="6">
        <f t="shared" si="4"/>
        <v>163</v>
      </c>
      <c r="M114" s="6" t="s">
        <v>655</v>
      </c>
      <c r="N114" s="6" t="s">
        <v>905</v>
      </c>
    </row>
    <row r="115" spans="1:14" s="20" customFormat="1">
      <c r="A115" s="6" t="s">
        <v>617</v>
      </c>
      <c r="B115" s="6" t="s">
        <v>195</v>
      </c>
      <c r="C115" s="6" t="s">
        <v>986</v>
      </c>
      <c r="D115" s="6">
        <v>237</v>
      </c>
      <c r="E115" s="6"/>
      <c r="H115" s="6">
        <f t="shared" si="4"/>
        <v>237</v>
      </c>
      <c r="M115" s="6" t="s">
        <v>526</v>
      </c>
      <c r="N115" s="6" t="s">
        <v>905</v>
      </c>
    </row>
    <row r="116" spans="1:14" s="20" customFormat="1">
      <c r="A116" s="6" t="s">
        <v>1356</v>
      </c>
      <c r="B116" s="6" t="s">
        <v>1358</v>
      </c>
      <c r="C116" s="6" t="s">
        <v>1357</v>
      </c>
      <c r="D116" s="6">
        <v>35</v>
      </c>
      <c r="H116" s="6">
        <f t="shared" si="4"/>
        <v>35</v>
      </c>
      <c r="M116" s="6" t="s">
        <v>621</v>
      </c>
      <c r="N116" s="6" t="s">
        <v>905</v>
      </c>
    </row>
    <row r="117" spans="1:14" s="20" customFormat="1">
      <c r="A117" s="6" t="s">
        <v>1356</v>
      </c>
      <c r="B117" s="6" t="s">
        <v>1358</v>
      </c>
      <c r="C117" s="6" t="s">
        <v>1359</v>
      </c>
      <c r="D117" s="6">
        <v>35</v>
      </c>
      <c r="H117" s="6">
        <f t="shared" si="4"/>
        <v>35</v>
      </c>
      <c r="M117" s="6" t="s">
        <v>621</v>
      </c>
      <c r="N117" s="6" t="s">
        <v>905</v>
      </c>
    </row>
    <row r="118" spans="1:14" s="20" customFormat="1">
      <c r="A118" s="6" t="s">
        <v>617</v>
      </c>
      <c r="B118" s="6" t="s">
        <v>195</v>
      </c>
      <c r="C118" s="6" t="s">
        <v>987</v>
      </c>
      <c r="D118" s="6">
        <v>237</v>
      </c>
      <c r="E118" s="6"/>
      <c r="H118" s="6">
        <f t="shared" si="4"/>
        <v>237</v>
      </c>
      <c r="M118" s="6" t="s">
        <v>526</v>
      </c>
      <c r="N118" s="6" t="s">
        <v>989</v>
      </c>
    </row>
    <row r="119" spans="1:14" s="20" customFormat="1">
      <c r="A119" s="6" t="s">
        <v>993</v>
      </c>
      <c r="B119" s="6" t="s">
        <v>804</v>
      </c>
      <c r="C119" s="6" t="s">
        <v>992</v>
      </c>
      <c r="D119" s="6">
        <v>641</v>
      </c>
      <c r="E119" s="6">
        <v>0</v>
      </c>
      <c r="H119" s="6">
        <f t="shared" si="4"/>
        <v>641</v>
      </c>
      <c r="M119" s="6" t="s">
        <v>748</v>
      </c>
      <c r="N119" s="6" t="s">
        <v>989</v>
      </c>
    </row>
    <row r="120" spans="1:14" s="20" customFormat="1">
      <c r="A120" s="6" t="s">
        <v>1110</v>
      </c>
      <c r="B120" s="6" t="s">
        <v>273</v>
      </c>
      <c r="C120" s="6" t="s">
        <v>1109</v>
      </c>
      <c r="D120" s="6">
        <v>120</v>
      </c>
      <c r="E120" s="6"/>
      <c r="H120" s="6">
        <f t="shared" si="4"/>
        <v>120</v>
      </c>
      <c r="M120" s="6" t="s">
        <v>655</v>
      </c>
      <c r="N120" s="6" t="s">
        <v>989</v>
      </c>
    </row>
    <row r="121" spans="1:14" s="20" customFormat="1">
      <c r="A121" s="6" t="s">
        <v>13</v>
      </c>
      <c r="B121" s="6" t="s">
        <v>669</v>
      </c>
      <c r="C121" s="6" t="s">
        <v>1241</v>
      </c>
      <c r="D121" s="6">
        <v>608</v>
      </c>
      <c r="E121" s="6">
        <v>0</v>
      </c>
      <c r="H121" s="6">
        <f t="shared" si="4"/>
        <v>608</v>
      </c>
      <c r="M121" s="6" t="s">
        <v>807</v>
      </c>
      <c r="N121" s="6" t="s">
        <v>989</v>
      </c>
    </row>
    <row r="122" spans="1:14" s="20" customFormat="1">
      <c r="A122" s="6" t="s">
        <v>1382</v>
      </c>
      <c r="B122" s="6" t="s">
        <v>1381</v>
      </c>
      <c r="C122" s="6" t="s">
        <v>1383</v>
      </c>
      <c r="D122" s="6">
        <v>372</v>
      </c>
      <c r="E122" s="6"/>
      <c r="H122" s="6">
        <f t="shared" si="4"/>
        <v>372</v>
      </c>
      <c r="M122" s="6" t="s">
        <v>1363</v>
      </c>
      <c r="N122" s="6" t="s">
        <v>989</v>
      </c>
    </row>
    <row r="123" spans="1:14" s="20" customFormat="1">
      <c r="A123" s="6" t="s">
        <v>976</v>
      </c>
      <c r="B123" s="6" t="s">
        <v>975</v>
      </c>
      <c r="C123" s="6" t="s">
        <v>974</v>
      </c>
      <c r="D123" s="6">
        <v>184</v>
      </c>
      <c r="E123" s="6"/>
      <c r="H123" s="6">
        <f>D123+E123+F123</f>
        <v>184</v>
      </c>
      <c r="M123" s="6" t="s">
        <v>748</v>
      </c>
      <c r="N123" s="6" t="s">
        <v>988</v>
      </c>
    </row>
    <row r="124" spans="1:14" s="20" customFormat="1">
      <c r="A124" s="6" t="s">
        <v>617</v>
      </c>
      <c r="B124" s="6" t="s">
        <v>195</v>
      </c>
      <c r="C124" s="6" t="s">
        <v>835</v>
      </c>
      <c r="D124" s="6">
        <v>247</v>
      </c>
      <c r="E124" s="6"/>
      <c r="H124" s="6">
        <f t="shared" si="4"/>
        <v>247</v>
      </c>
      <c r="M124" s="6" t="s">
        <v>526</v>
      </c>
      <c r="N124" s="6" t="s">
        <v>988</v>
      </c>
    </row>
    <row r="125" spans="1:14" s="20" customFormat="1">
      <c r="A125" s="6" t="s">
        <v>749</v>
      </c>
      <c r="B125" s="6" t="s">
        <v>669</v>
      </c>
      <c r="C125" s="6" t="s">
        <v>1419</v>
      </c>
      <c r="D125" s="6">
        <v>694</v>
      </c>
      <c r="E125" s="6">
        <v>0</v>
      </c>
      <c r="H125" s="6">
        <f t="shared" si="4"/>
        <v>694</v>
      </c>
      <c r="M125" s="6" t="s">
        <v>807</v>
      </c>
      <c r="N125" s="6" t="s">
        <v>988</v>
      </c>
    </row>
    <row r="126" spans="1:14" s="20" customFormat="1">
      <c r="A126" s="6" t="s">
        <v>600</v>
      </c>
      <c r="B126" s="6" t="s">
        <v>273</v>
      </c>
      <c r="C126" s="6" t="s">
        <v>1015</v>
      </c>
      <c r="D126" s="6">
        <v>130</v>
      </c>
      <c r="E126" s="6"/>
      <c r="H126" s="6">
        <f t="shared" si="4"/>
        <v>130</v>
      </c>
      <c r="M126" s="6" t="s">
        <v>655</v>
      </c>
      <c r="N126" s="6" t="s">
        <v>988</v>
      </c>
    </row>
    <row r="127" spans="1:14" s="20" customFormat="1">
      <c r="A127" s="6" t="s">
        <v>395</v>
      </c>
      <c r="B127" s="6" t="s">
        <v>273</v>
      </c>
      <c r="C127" s="6" t="s">
        <v>1044</v>
      </c>
      <c r="D127" s="6">
        <v>107</v>
      </c>
      <c r="E127" s="6"/>
      <c r="H127" s="6">
        <f t="shared" si="4"/>
        <v>107</v>
      </c>
      <c r="M127" s="6" t="s">
        <v>655</v>
      </c>
      <c r="N127" s="6" t="s">
        <v>988</v>
      </c>
    </row>
    <row r="128" spans="1:14" s="20" customFormat="1">
      <c r="A128" s="6" t="s">
        <v>613</v>
      </c>
      <c r="B128" s="6" t="s">
        <v>1101</v>
      </c>
      <c r="C128" s="6" t="s">
        <v>1102</v>
      </c>
      <c r="D128" s="6">
        <v>831</v>
      </c>
      <c r="E128" s="6"/>
      <c r="H128" s="6">
        <f t="shared" si="4"/>
        <v>831</v>
      </c>
      <c r="M128" s="6" t="s">
        <v>676</v>
      </c>
      <c r="N128" s="6" t="s">
        <v>988</v>
      </c>
    </row>
    <row r="129" spans="1:14" s="20" customFormat="1">
      <c r="A129" s="6" t="s">
        <v>580</v>
      </c>
      <c r="B129" s="6" t="s">
        <v>195</v>
      </c>
      <c r="C129" s="6" t="s">
        <v>990</v>
      </c>
      <c r="D129" s="6">
        <v>202</v>
      </c>
      <c r="E129" s="6"/>
      <c r="H129" s="6">
        <f t="shared" si="4"/>
        <v>202</v>
      </c>
      <c r="M129" s="6" t="s">
        <v>887</v>
      </c>
      <c r="N129" s="6" t="s">
        <v>991</v>
      </c>
    </row>
    <row r="130" spans="1:14" s="20" customFormat="1">
      <c r="A130" s="6" t="s">
        <v>888</v>
      </c>
      <c r="B130" s="6" t="s">
        <v>890</v>
      </c>
      <c r="C130" s="6" t="s">
        <v>889</v>
      </c>
      <c r="D130" s="6">
        <v>233</v>
      </c>
      <c r="E130" s="6"/>
      <c r="H130" s="6">
        <f t="shared" si="4"/>
        <v>233</v>
      </c>
      <c r="M130" s="6" t="s">
        <v>887</v>
      </c>
      <c r="N130" s="6" t="s">
        <v>991</v>
      </c>
    </row>
    <row r="131" spans="1:14" s="20" customFormat="1">
      <c r="A131" s="6" t="s">
        <v>749</v>
      </c>
      <c r="B131" s="6" t="s">
        <v>669</v>
      </c>
      <c r="C131" s="6" t="s">
        <v>1502</v>
      </c>
      <c r="D131" s="6">
        <v>720</v>
      </c>
      <c r="E131" s="6">
        <v>0</v>
      </c>
      <c r="H131" s="6">
        <f t="shared" si="4"/>
        <v>720</v>
      </c>
      <c r="M131" s="6" t="s">
        <v>807</v>
      </c>
      <c r="N131" s="6" t="s">
        <v>991</v>
      </c>
    </row>
    <row r="132" spans="1:14" s="20" customFormat="1">
      <c r="A132" s="6" t="s">
        <v>770</v>
      </c>
      <c r="B132" s="6" t="s">
        <v>273</v>
      </c>
      <c r="C132" s="6" t="s">
        <v>1014</v>
      </c>
      <c r="D132" s="6">
        <v>136</v>
      </c>
      <c r="E132" s="6"/>
      <c r="H132" s="6">
        <f t="shared" si="4"/>
        <v>136</v>
      </c>
      <c r="M132" s="6" t="s">
        <v>655</v>
      </c>
      <c r="N132" s="6" t="s">
        <v>996</v>
      </c>
    </row>
    <row r="133" spans="1:14" s="20" customFormat="1">
      <c r="A133" s="6" t="s">
        <v>600</v>
      </c>
      <c r="B133" s="6" t="s">
        <v>273</v>
      </c>
      <c r="C133" s="6" t="s">
        <v>995</v>
      </c>
      <c r="D133" s="6">
        <v>270</v>
      </c>
      <c r="E133" s="6"/>
      <c r="H133" s="6">
        <f t="shared" si="4"/>
        <v>270</v>
      </c>
      <c r="M133" s="6" t="s">
        <v>748</v>
      </c>
      <c r="N133" s="6" t="s">
        <v>996</v>
      </c>
    </row>
    <row r="134" spans="1:14" s="20" customFormat="1">
      <c r="A134" s="6" t="s">
        <v>1113</v>
      </c>
      <c r="B134" s="6" t="s">
        <v>273</v>
      </c>
      <c r="C134" s="6" t="s">
        <v>1112</v>
      </c>
      <c r="D134" s="6">
        <v>113</v>
      </c>
      <c r="E134" s="6"/>
      <c r="H134" s="6">
        <f t="shared" si="4"/>
        <v>113</v>
      </c>
      <c r="M134" s="6" t="s">
        <v>748</v>
      </c>
      <c r="N134" s="6" t="s">
        <v>996</v>
      </c>
    </row>
    <row r="135" spans="1:14" s="20" customFormat="1">
      <c r="A135" s="6" t="s">
        <v>13</v>
      </c>
      <c r="B135" s="6" t="s">
        <v>1756</v>
      </c>
      <c r="C135" s="6" t="s">
        <v>1755</v>
      </c>
      <c r="D135" s="6">
        <v>530</v>
      </c>
      <c r="E135" s="6"/>
      <c r="H135" s="6">
        <f t="shared" si="4"/>
        <v>530</v>
      </c>
      <c r="M135" s="6" t="s">
        <v>1761</v>
      </c>
      <c r="N135" s="6" t="s">
        <v>1762</v>
      </c>
    </row>
    <row r="136" spans="1:14" s="20" customFormat="1">
      <c r="A136" s="6" t="s">
        <v>600</v>
      </c>
      <c r="B136" s="6" t="s">
        <v>273</v>
      </c>
      <c r="C136" s="6" t="s">
        <v>1107</v>
      </c>
      <c r="D136" s="6">
        <v>255</v>
      </c>
      <c r="E136" s="6"/>
      <c r="H136" s="6">
        <f t="shared" si="4"/>
        <v>255</v>
      </c>
      <c r="M136" s="6" t="s">
        <v>655</v>
      </c>
      <c r="N136" s="6" t="s">
        <v>1108</v>
      </c>
    </row>
    <row r="137" spans="1:14" s="20" customFormat="1">
      <c r="A137" s="6" t="s">
        <v>617</v>
      </c>
      <c r="B137" s="6" t="s">
        <v>195</v>
      </c>
      <c r="C137" s="6" t="s">
        <v>1111</v>
      </c>
      <c r="D137" s="6">
        <v>211</v>
      </c>
      <c r="E137" s="6"/>
      <c r="H137" s="6">
        <f t="shared" si="4"/>
        <v>211</v>
      </c>
      <c r="M137" s="6" t="s">
        <v>887</v>
      </c>
      <c r="N137" s="6" t="s">
        <v>1108</v>
      </c>
    </row>
    <row r="138" spans="1:14" s="20" customFormat="1">
      <c r="A138" s="6" t="s">
        <v>1350</v>
      </c>
      <c r="B138" s="6" t="s">
        <v>894</v>
      </c>
      <c r="C138" s="6" t="s">
        <v>1349</v>
      </c>
      <c r="D138" s="6">
        <v>171</v>
      </c>
      <c r="E138" s="6"/>
      <c r="H138" s="6">
        <f t="shared" si="4"/>
        <v>171</v>
      </c>
      <c r="M138" s="6" t="s">
        <v>887</v>
      </c>
      <c r="N138" s="6" t="s">
        <v>1108</v>
      </c>
    </row>
    <row r="139" spans="1:14" s="20" customFormat="1">
      <c r="A139" s="6" t="s">
        <v>1364</v>
      </c>
      <c r="B139" s="6" t="s">
        <v>1365</v>
      </c>
      <c r="C139" s="6" t="s">
        <v>1362</v>
      </c>
      <c r="D139" s="6">
        <v>173</v>
      </c>
      <c r="E139" s="6"/>
      <c r="H139" s="6">
        <f t="shared" si="4"/>
        <v>173</v>
      </c>
      <c r="M139" s="6" t="s">
        <v>1363</v>
      </c>
      <c r="N139" s="6" t="s">
        <v>1108</v>
      </c>
    </row>
    <row r="140" spans="1:14" s="20" customFormat="1">
      <c r="A140" s="6"/>
      <c r="B140" s="6" t="s">
        <v>544</v>
      </c>
      <c r="C140" s="6" t="s">
        <v>971</v>
      </c>
      <c r="D140" s="6">
        <v>709</v>
      </c>
      <c r="E140" s="6">
        <v>0</v>
      </c>
      <c r="H140" s="6">
        <f t="shared" si="4"/>
        <v>709</v>
      </c>
      <c r="M140" s="6" t="s">
        <v>807</v>
      </c>
      <c r="N140" s="6" t="s">
        <v>1763</v>
      </c>
    </row>
    <row r="141" spans="1:14" s="20" customFormat="1">
      <c r="A141" s="6"/>
      <c r="B141" s="6"/>
      <c r="C141" s="6" t="s">
        <v>1418</v>
      </c>
      <c r="D141" s="6"/>
      <c r="E141" s="6"/>
      <c r="H141" s="6"/>
      <c r="M141" s="6"/>
      <c r="N141" s="6"/>
    </row>
    <row r="142" spans="1:14">
      <c r="A142" s="1"/>
      <c r="C142" s="1"/>
      <c r="D142" s="6"/>
      <c r="E142" s="6"/>
      <c r="H142" s="6"/>
      <c r="M142" s="6"/>
    </row>
    <row r="143" spans="1:14">
      <c r="A143" s="1"/>
      <c r="C143" s="1"/>
      <c r="D143" s="6"/>
      <c r="E143" s="6"/>
      <c r="H143" s="6"/>
      <c r="M143" s="6"/>
    </row>
    <row r="144" spans="1:14">
      <c r="A144" s="1"/>
      <c r="C144" s="1"/>
      <c r="D144" s="6"/>
      <c r="E144" s="6"/>
      <c r="H144" s="6"/>
      <c r="M144" s="6"/>
    </row>
    <row r="145" spans="1:13">
      <c r="A145" s="1"/>
      <c r="C145" s="1"/>
      <c r="D145" s="6"/>
      <c r="E145" s="6"/>
      <c r="H145" s="6"/>
      <c r="M145" s="6"/>
    </row>
    <row r="146" spans="1:13">
      <c r="A146" s="1"/>
      <c r="C146" s="1"/>
      <c r="D146" s="6"/>
      <c r="E146" s="6"/>
      <c r="H146" s="6"/>
      <c r="M146" s="6"/>
    </row>
    <row r="147" spans="1:13">
      <c r="A147" s="1"/>
      <c r="C147" s="1"/>
      <c r="D147" s="6"/>
      <c r="E147" s="6"/>
      <c r="H147" s="6"/>
      <c r="M147" s="6"/>
    </row>
    <row r="148" spans="1:13">
      <c r="A148" s="1"/>
      <c r="C148" s="1"/>
      <c r="D148" s="6"/>
      <c r="E148" s="6"/>
      <c r="H148" s="6"/>
      <c r="M148" s="6"/>
    </row>
    <row r="149" spans="1:13">
      <c r="A149" s="1"/>
      <c r="C149" s="1"/>
      <c r="D149" s="6"/>
      <c r="E149" s="6"/>
      <c r="H149" s="6"/>
      <c r="M149" s="6"/>
    </row>
    <row r="150" spans="1:13">
      <c r="A150" s="1"/>
      <c r="C150" s="1"/>
      <c r="D150" s="6"/>
      <c r="E150" s="6"/>
      <c r="H150" s="6"/>
      <c r="M150" s="6"/>
    </row>
    <row r="151" spans="1:13">
      <c r="A151" s="1"/>
      <c r="C151" s="1"/>
      <c r="D151" s="6"/>
      <c r="E151" s="6"/>
      <c r="H151" s="6"/>
      <c r="M151" s="6"/>
    </row>
    <row r="152" spans="1:13">
      <c r="A152" s="1"/>
      <c r="C152" s="1"/>
      <c r="D152" s="6"/>
      <c r="E152" s="6"/>
      <c r="H152" s="6"/>
      <c r="M152" s="6"/>
    </row>
    <row r="153" spans="1:13">
      <c r="A153" s="1"/>
      <c r="C153" s="1"/>
      <c r="D153" s="6"/>
      <c r="E153" s="6"/>
      <c r="H153" s="6"/>
      <c r="M153" s="6"/>
    </row>
    <row r="154" spans="1:13">
      <c r="A154" s="1"/>
      <c r="C154" s="1"/>
      <c r="D154" s="6"/>
      <c r="E154" s="6"/>
      <c r="H154" s="6"/>
      <c r="M154" s="6"/>
    </row>
    <row r="155" spans="1:13">
      <c r="A155" s="1"/>
      <c r="C155" s="1"/>
      <c r="D155" s="6"/>
      <c r="E155" s="6"/>
      <c r="H155" s="6"/>
      <c r="M155" s="6"/>
    </row>
    <row r="156" spans="1:13">
      <c r="A156" s="1"/>
      <c r="C156" s="1"/>
      <c r="D156" s="6"/>
      <c r="E156" s="6"/>
      <c r="H156" s="6"/>
      <c r="M156" s="6"/>
    </row>
    <row r="157" spans="1:13">
      <c r="A157" s="1"/>
      <c r="C157" s="1"/>
      <c r="D157" s="6"/>
      <c r="E157" s="6"/>
      <c r="H157" s="6"/>
      <c r="M157" s="6"/>
    </row>
  </sheetData>
  <autoFilter ref="A1:Q139" xr:uid="{3B077650-8D10-4A06-9A8D-7F0B31929442}"/>
  <phoneticPr fontId="1"/>
  <conditionalFormatting sqref="A113:E113 A118:B118 A67 M67:N67 H67 C67:E67 A68:F73 H68:N73 H75:N75 H76:J76 G67:G73 A74:N74 A75:G76 C76:C77 M79 A77:J77 K76:N77 A78:N78 A80:M80 G79:H79 A79:E79 A81:N83 M84:N84 A84:E84 G84:H84 C86:D86 A85:N85 H86:H88 M86:N88 B88:E88 A87:E87 B90:E91 A89:F89 H89:N89 H90:H92 M90:N92 A93:F93 H93:N93 C92:E92 D94:E94 M94:N94 B94 H94 D97:E97 H97 A97 M97:N97 A95:F96 H95:N96 D116:D117 N115:N117 M115 A98:F99 H98:N99 N101 A100:D100 M100:N100 B102 M102:N102 H100:H102 A103:F103 H103:N103 A104:D105 M104:N104 G104:H104 D106:E106 B106 H105:H106 M105:M106 A2:N66 A108:N108 A114:D114 A109:D109 B110:D110 M109:N110 H109:H110 D101:E102 D142:D157 A123:B123 A115:E115 M113:N114 M123:N123 B119:B122 D118:E141 H113:H157 M118:M122 M124:M141 B124:B1048576">
    <cfRule type="expression" dxfId="1372" priority="522">
      <formula>$G2="卖出"</formula>
    </cfRule>
  </conditionalFormatting>
  <conditionalFormatting sqref="C2">
    <cfRule type="duplicateValues" dxfId="1371" priority="2178"/>
  </conditionalFormatting>
  <conditionalFormatting sqref="A67 A69:C69 C79 A79 A87 C83:C84 C87 A85:C85 A88:C89 C92 A94:C94 A113:C113 C97 A116:A117 C116:C118 A99:C99 A97:A98 C101 A101 A102:C102 C104:C105 A106:C106 C109:C110 A123 C114 C123 A119:C122 A124:C157">
    <cfRule type="expression" dxfId="1370" priority="835">
      <formula>$F67="卖出"</formula>
    </cfRule>
  </conditionalFormatting>
  <conditionalFormatting sqref="M142:M157 M69 M79 M74 M84:M85 M87:M91 M118 M97:M99 M102 M113:M115 M104:M106">
    <cfRule type="expression" dxfId="1369" priority="834">
      <formula>$D69="卖出"</formula>
    </cfRule>
  </conditionalFormatting>
  <conditionalFormatting sqref="M142:M157 M69 M79 M74 M84:M85 M87:M91 M118 M97:M99 M102 M113:M115 M104:M106">
    <cfRule type="expression" dxfId="1368" priority="832">
      <formula>$G69="卖出"</formula>
    </cfRule>
    <cfRule type="expression" dxfId="1367" priority="833">
      <formula>$D69="卖出"</formula>
    </cfRule>
  </conditionalFormatting>
  <conditionalFormatting sqref="C98 C67">
    <cfRule type="duplicateValues" dxfId="1366" priority="463"/>
  </conditionalFormatting>
  <conditionalFormatting sqref="C100">
    <cfRule type="duplicateValues" dxfId="1365" priority="444"/>
  </conditionalFormatting>
  <conditionalFormatting sqref="C86">
    <cfRule type="duplicateValues" dxfId="1364" priority="436"/>
  </conditionalFormatting>
  <conditionalFormatting sqref="A86:C86">
    <cfRule type="expression" dxfId="1363" priority="435">
      <formula>$E86="卖出"</formula>
    </cfRule>
  </conditionalFormatting>
  <conditionalFormatting sqref="C73">
    <cfRule type="duplicateValues" dxfId="1362" priority="428"/>
  </conditionalFormatting>
  <conditionalFormatting sqref="C90">
    <cfRule type="duplicateValues" dxfId="1361" priority="423"/>
  </conditionalFormatting>
  <conditionalFormatting sqref="C80">
    <cfRule type="duplicateValues" dxfId="1360" priority="414"/>
  </conditionalFormatting>
  <conditionalFormatting sqref="C87">
    <cfRule type="duplicateValues" dxfId="1359" priority="403"/>
  </conditionalFormatting>
  <conditionalFormatting sqref="C84">
    <cfRule type="duplicateValues" dxfId="1358" priority="376"/>
  </conditionalFormatting>
  <conditionalFormatting sqref="C109">
    <cfRule type="duplicateValues" dxfId="1357" priority="354"/>
  </conditionalFormatting>
  <conditionalFormatting sqref="C114">
    <cfRule type="duplicateValues" dxfId="1356" priority="345"/>
  </conditionalFormatting>
  <conditionalFormatting sqref="C92">
    <cfRule type="duplicateValues" dxfId="1355" priority="326"/>
  </conditionalFormatting>
  <conditionalFormatting sqref="N119:N123 N125:N141">
    <cfRule type="expression" dxfId="1354" priority="297">
      <formula>$G118="卖出"</formula>
    </cfRule>
  </conditionalFormatting>
  <conditionalFormatting sqref="M101">
    <cfRule type="expression" dxfId="1353" priority="2676">
      <formula>$C101="卖出"</formula>
    </cfRule>
  </conditionalFormatting>
  <conditionalFormatting sqref="M101">
    <cfRule type="expression" dxfId="1352" priority="2679">
      <formula>$G101="卖出"</formula>
    </cfRule>
    <cfRule type="expression" dxfId="1351" priority="2680">
      <formula>$C101="卖出"</formula>
    </cfRule>
  </conditionalFormatting>
  <conditionalFormatting sqref="C74">
    <cfRule type="duplicateValues" dxfId="1350" priority="265"/>
  </conditionalFormatting>
  <conditionalFormatting sqref="C104">
    <cfRule type="duplicateValues" dxfId="1349" priority="229"/>
  </conditionalFormatting>
  <conditionalFormatting sqref="C77">
    <cfRule type="duplicateValues" dxfId="1348" priority="201"/>
  </conditionalFormatting>
  <conditionalFormatting sqref="N79:N80">
    <cfRule type="expression" dxfId="1347" priority="191">
      <formula>$G79="卖出"</formula>
    </cfRule>
  </conditionalFormatting>
  <conditionalFormatting sqref="C81">
    <cfRule type="duplicateValues" dxfId="1346" priority="190"/>
  </conditionalFormatting>
  <conditionalFormatting sqref="C93">
    <cfRule type="expression" dxfId="1345" priority="2872">
      <formula>$G82="卖出"</formula>
    </cfRule>
  </conditionalFormatting>
  <conditionalFormatting sqref="C83">
    <cfRule type="duplicateValues" dxfId="1344" priority="186"/>
  </conditionalFormatting>
  <conditionalFormatting sqref="E86">
    <cfRule type="expression" dxfId="1343" priority="184">
      <formula>$G86="卖出"</formula>
    </cfRule>
  </conditionalFormatting>
  <conditionalFormatting sqref="G86">
    <cfRule type="expression" dxfId="1342" priority="183">
      <formula>$G86="卖出"</formula>
    </cfRule>
  </conditionalFormatting>
  <conditionalFormatting sqref="G87:G89">
    <cfRule type="expression" dxfId="1341" priority="182">
      <formula>$G87="卖出"</formula>
    </cfRule>
  </conditionalFormatting>
  <conditionalFormatting sqref="C91">
    <cfRule type="duplicateValues" dxfId="1340" priority="176"/>
  </conditionalFormatting>
  <conditionalFormatting sqref="C93">
    <cfRule type="expression" dxfId="1339" priority="2975">
      <formula>#REF!="卖出"</formula>
    </cfRule>
  </conditionalFormatting>
  <conditionalFormatting sqref="G90">
    <cfRule type="expression" dxfId="1338" priority="126">
      <formula>$G90="卖出"</formula>
    </cfRule>
  </conditionalFormatting>
  <conditionalFormatting sqref="G91">
    <cfRule type="expression" dxfId="1337" priority="125">
      <formula>$G91="卖出"</formula>
    </cfRule>
  </conditionalFormatting>
  <conditionalFormatting sqref="G92:G93">
    <cfRule type="expression" dxfId="1336" priority="123">
      <formula>$G92="卖出"</formula>
    </cfRule>
  </conditionalFormatting>
  <conditionalFormatting sqref="A93:B93">
    <cfRule type="expression" dxfId="1335" priority="3118">
      <formula>$G94="卖出"</formula>
    </cfRule>
  </conditionalFormatting>
  <conditionalFormatting sqref="G94">
    <cfRule type="expression" dxfId="1334" priority="121">
      <formula>$G94="卖出"</formula>
    </cfRule>
  </conditionalFormatting>
  <conditionalFormatting sqref="A95:B96">
    <cfRule type="expression" dxfId="1333" priority="3217">
      <formula>$G94="卖出"</formula>
    </cfRule>
  </conditionalFormatting>
  <conditionalFormatting sqref="C93">
    <cfRule type="expression" dxfId="1332" priority="3272">
      <formula>$F98="卖出"</formula>
    </cfRule>
  </conditionalFormatting>
  <conditionalFormatting sqref="C95:C96 C93 C82:C83 C61">
    <cfRule type="duplicateValues" dxfId="1331" priority="3418"/>
  </conditionalFormatting>
  <conditionalFormatting sqref="C103">
    <cfRule type="duplicateValues" dxfId="1330" priority="105"/>
  </conditionalFormatting>
  <conditionalFormatting sqref="G95:G97">
    <cfRule type="expression" dxfId="1329" priority="104">
      <formula>$G95="卖出"</formula>
    </cfRule>
  </conditionalFormatting>
  <conditionalFormatting sqref="C115">
    <cfRule type="duplicateValues" dxfId="1328" priority="3429"/>
  </conditionalFormatting>
  <conditionalFormatting sqref="N118">
    <cfRule type="expression" dxfId="1327" priority="3430">
      <formula>$G115="卖出"</formula>
    </cfRule>
  </conditionalFormatting>
  <conditionalFormatting sqref="M116:M117">
    <cfRule type="expression" dxfId="1326" priority="94">
      <formula>$G116="卖出"</formula>
    </cfRule>
  </conditionalFormatting>
  <conditionalFormatting sqref="G98">
    <cfRule type="expression" dxfId="1325" priority="89">
      <formula>$G98="卖出"</formula>
    </cfRule>
  </conditionalFormatting>
  <conditionalFormatting sqref="A96:B96">
    <cfRule type="expression" dxfId="1324" priority="83">
      <formula>$G110="卖出"</formula>
    </cfRule>
  </conditionalFormatting>
  <conditionalFormatting sqref="G99">
    <cfRule type="expression" dxfId="1323" priority="82">
      <formula>$G99="卖出"</formula>
    </cfRule>
  </conditionalFormatting>
  <conditionalFormatting sqref="G101">
    <cfRule type="expression" dxfId="1322" priority="81">
      <formula>$G101="卖出"</formula>
    </cfRule>
  </conditionalFormatting>
  <conditionalFormatting sqref="G102">
    <cfRule type="expression" dxfId="1321" priority="80">
      <formula>$G102="卖出"</formula>
    </cfRule>
  </conditionalFormatting>
  <conditionalFormatting sqref="G103">
    <cfRule type="expression" dxfId="1320" priority="79">
      <formula>$G103="卖出"</formula>
    </cfRule>
  </conditionalFormatting>
  <conditionalFormatting sqref="G105">
    <cfRule type="expression" dxfId="1319" priority="77">
      <formula>$G105="卖出"</formula>
    </cfRule>
  </conditionalFormatting>
  <conditionalFormatting sqref="N106">
    <cfRule type="expression" dxfId="1318" priority="4152">
      <formula>$G94="卖出"</formula>
    </cfRule>
  </conditionalFormatting>
  <conditionalFormatting sqref="N105">
    <cfRule type="expression" dxfId="1317" priority="76">
      <formula>$G93="卖出"</formula>
    </cfRule>
  </conditionalFormatting>
  <conditionalFormatting sqref="C105">
    <cfRule type="duplicateValues" dxfId="1316" priority="4161"/>
  </conditionalFormatting>
  <conditionalFormatting sqref="A95:B95">
    <cfRule type="expression" dxfId="1315" priority="4162">
      <formula>#REF!="卖出"</formula>
    </cfRule>
  </conditionalFormatting>
  <conditionalFormatting sqref="E105">
    <cfRule type="expression" dxfId="1314" priority="75">
      <formula>$G105="卖出"</formula>
    </cfRule>
  </conditionalFormatting>
  <conditionalFormatting sqref="G106">
    <cfRule type="expression" dxfId="1313" priority="74">
      <formula>$G106="卖出"</formula>
    </cfRule>
  </conditionalFormatting>
  <conditionalFormatting sqref="I100:J100">
    <cfRule type="expression" dxfId="1312" priority="71">
      <formula>$G100="卖出"</formula>
    </cfRule>
  </conditionalFormatting>
  <conditionalFormatting sqref="K100:L100">
    <cfRule type="expression" dxfId="1311" priority="72">
      <formula>$G100="卖出"</formula>
    </cfRule>
  </conditionalFormatting>
  <conditionalFormatting sqref="N119:N123">
    <cfRule type="expression" dxfId="1310" priority="4721">
      <formula>$G131="卖出"</formula>
    </cfRule>
  </conditionalFormatting>
  <conditionalFormatting sqref="C108">
    <cfRule type="duplicateValues" dxfId="1309" priority="38"/>
  </conditionalFormatting>
  <conditionalFormatting sqref="C108">
    <cfRule type="duplicateValues" dxfId="1308" priority="39"/>
  </conditionalFormatting>
  <conditionalFormatting sqref="G109">
    <cfRule type="expression" dxfId="1307" priority="36">
      <formula>$G109="卖出"</formula>
    </cfRule>
  </conditionalFormatting>
  <conditionalFormatting sqref="C113 C110 C2:C73 C82:C90 C75:C80 C98:C100 C95:C96 C93">
    <cfRule type="duplicateValues" dxfId="1306" priority="4808"/>
  </conditionalFormatting>
  <conditionalFormatting sqref="G110">
    <cfRule type="expression" dxfId="1305" priority="35">
      <formula>$G110="卖出"</formula>
    </cfRule>
  </conditionalFormatting>
  <conditionalFormatting sqref="D107:E107 B107 M107">
    <cfRule type="expression" dxfId="1304" priority="29">
      <formula>$G107="卖出"</formula>
    </cfRule>
  </conditionalFormatting>
  <conditionalFormatting sqref="A107:C107">
    <cfRule type="expression" dxfId="1303" priority="33">
      <formula>$F107="卖出"</formula>
    </cfRule>
  </conditionalFormatting>
  <conditionalFormatting sqref="M107">
    <cfRule type="expression" dxfId="1302" priority="32">
      <formula>$D107="卖出"</formula>
    </cfRule>
  </conditionalFormatting>
  <conditionalFormatting sqref="M107">
    <cfRule type="expression" dxfId="1301" priority="30">
      <formula>$G107="卖出"</formula>
    </cfRule>
    <cfRule type="expression" dxfId="1300" priority="31">
      <formula>$D107="卖出"</formula>
    </cfRule>
  </conditionalFormatting>
  <conditionalFormatting sqref="N107">
    <cfRule type="expression" dxfId="1299" priority="34">
      <formula>$G95="卖出"</formula>
    </cfRule>
  </conditionalFormatting>
  <conditionalFormatting sqref="G107">
    <cfRule type="expression" dxfId="1298" priority="28">
      <formula>$G107="卖出"</formula>
    </cfRule>
  </conditionalFormatting>
  <conditionalFormatting sqref="H107">
    <cfRule type="expression" dxfId="1297" priority="27">
      <formula>$G107="卖出"</formula>
    </cfRule>
  </conditionalFormatting>
  <conditionalFormatting sqref="N124:N141">
    <cfRule type="expression" dxfId="1296" priority="4">
      <formula>$G135="卖出"</formula>
    </cfRule>
  </conditionalFormatting>
  <conditionalFormatting sqref="N124">
    <cfRule type="expression" dxfId="1295" priority="4811">
      <formula>$G122="卖出"</formula>
    </cfRule>
  </conditionalFormatting>
  <conditionalFormatting sqref="A92:B92">
    <cfRule type="expression" dxfId="1294" priority="4823">
      <formula>$G123="卖出"</formula>
    </cfRule>
  </conditionalFormatting>
  <dataValidations count="1">
    <dataValidation type="list" allowBlank="1" showInputMessage="1" showErrorMessage="1" sqref="G1:G99 G101:G110" xr:uid="{ED8CBB02-55D7-4280-8F72-911A61FDB3C7}">
      <formula1>"留存,卖出"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080C-BF36-4EC3-A555-1FBE7986B1A7}">
  <sheetPr codeName="Sheet5"/>
  <dimension ref="A1:N32"/>
  <sheetViews>
    <sheetView workbookViewId="0">
      <pane ySplit="1" topLeftCell="A2" activePane="bottomLeft" state="frozen"/>
      <selection pane="bottomLeft" activeCell="B1" sqref="B1:K1"/>
    </sheetView>
  </sheetViews>
  <sheetFormatPr defaultRowHeight="14.4"/>
  <cols>
    <col min="1" max="1" width="23.109375" bestFit="1" customWidth="1"/>
    <col min="2" max="2" width="12.109375" bestFit="1" customWidth="1"/>
    <col min="3" max="3" width="16.88671875" bestFit="1" customWidth="1"/>
    <col min="10" max="10" width="10" style="4" bestFit="1" customWidth="1"/>
    <col min="11" max="11" width="9.88671875" bestFit="1" customWidth="1"/>
    <col min="13" max="13" width="12.5546875" customWidth="1"/>
  </cols>
  <sheetData>
    <row r="1" spans="1:14" ht="16.2">
      <c r="A1" s="9" t="s">
        <v>12</v>
      </c>
      <c r="B1" s="9" t="s">
        <v>31</v>
      </c>
      <c r="C1" s="9" t="s">
        <v>0</v>
      </c>
      <c r="D1" s="9" t="s">
        <v>7</v>
      </c>
      <c r="E1" s="9" t="s">
        <v>276</v>
      </c>
      <c r="F1" s="9" t="s">
        <v>11</v>
      </c>
      <c r="G1" s="9" t="s">
        <v>283</v>
      </c>
      <c r="H1" s="9" t="s">
        <v>3</v>
      </c>
      <c r="I1" s="9" t="s">
        <v>280</v>
      </c>
      <c r="J1" s="9" t="s">
        <v>267</v>
      </c>
      <c r="K1" s="9" t="s">
        <v>22</v>
      </c>
    </row>
    <row r="2" spans="1:14" ht="15.6">
      <c r="A2" s="6" t="s">
        <v>230</v>
      </c>
      <c r="B2" s="6" t="s">
        <v>274</v>
      </c>
      <c r="C2" s="6" t="s">
        <v>275</v>
      </c>
      <c r="D2" s="6" t="s">
        <v>8</v>
      </c>
      <c r="E2" s="6" t="s">
        <v>5</v>
      </c>
      <c r="F2" s="6">
        <v>115</v>
      </c>
      <c r="G2" s="6"/>
      <c r="H2" s="6"/>
      <c r="I2" s="6"/>
      <c r="J2" s="12"/>
      <c r="K2" s="6"/>
      <c r="L2" s="6"/>
      <c r="M2" s="8" t="s">
        <v>16</v>
      </c>
      <c r="N2" s="15">
        <f>SUM(F:F)</f>
        <v>10862</v>
      </c>
    </row>
    <row r="3" spans="1:14" ht="15.6">
      <c r="A3" s="6" t="s">
        <v>13</v>
      </c>
      <c r="B3" s="6" t="s">
        <v>716</v>
      </c>
      <c r="C3" s="6" t="s">
        <v>277</v>
      </c>
      <c r="D3" s="6" t="s">
        <v>8</v>
      </c>
      <c r="E3" s="6" t="s">
        <v>319</v>
      </c>
      <c r="F3" s="6">
        <v>45</v>
      </c>
      <c r="G3" s="6"/>
      <c r="H3" s="6"/>
      <c r="I3" s="6"/>
      <c r="J3" s="12"/>
      <c r="K3" s="6"/>
      <c r="L3" s="6"/>
      <c r="M3" s="8" t="s">
        <v>17</v>
      </c>
      <c r="N3" s="15">
        <f>SUM(H:H)</f>
        <v>8461</v>
      </c>
    </row>
    <row r="4" spans="1:14" ht="15.6">
      <c r="A4" s="6" t="s">
        <v>13</v>
      </c>
      <c r="B4" s="6" t="s">
        <v>75</v>
      </c>
      <c r="C4" s="6" t="s">
        <v>278</v>
      </c>
      <c r="D4" s="6" t="s">
        <v>8</v>
      </c>
      <c r="E4" s="6" t="s">
        <v>116</v>
      </c>
      <c r="F4" s="6">
        <v>44</v>
      </c>
      <c r="G4" s="6">
        <v>44</v>
      </c>
      <c r="H4" s="6">
        <v>51</v>
      </c>
      <c r="I4" s="6">
        <f>H4-G4</f>
        <v>7</v>
      </c>
      <c r="J4" s="12">
        <f>I4/G4</f>
        <v>0.15909090909090909</v>
      </c>
      <c r="K4" s="6"/>
      <c r="L4" s="6"/>
      <c r="M4" s="2" t="s">
        <v>281</v>
      </c>
      <c r="N4" s="15">
        <f>SUM(G:G)</f>
        <v>7626</v>
      </c>
    </row>
    <row r="5" spans="1:14" ht="15.6">
      <c r="A5" s="6" t="s">
        <v>13</v>
      </c>
      <c r="B5" s="6" t="s">
        <v>75</v>
      </c>
      <c r="C5" s="6" t="s">
        <v>190</v>
      </c>
      <c r="D5" s="6" t="s">
        <v>8</v>
      </c>
      <c r="E5" s="6" t="s">
        <v>116</v>
      </c>
      <c r="F5" s="6">
        <v>37</v>
      </c>
      <c r="G5" s="6">
        <v>37</v>
      </c>
      <c r="H5" s="6">
        <v>53</v>
      </c>
      <c r="I5" s="6">
        <f>H5-G5</f>
        <v>16</v>
      </c>
      <c r="J5" s="12">
        <f>I5/G5</f>
        <v>0.43243243243243246</v>
      </c>
      <c r="K5" s="6"/>
      <c r="L5" s="6"/>
      <c r="M5" s="8" t="s">
        <v>280</v>
      </c>
      <c r="N5" s="15">
        <f>SUM(I:I)</f>
        <v>835</v>
      </c>
    </row>
    <row r="6" spans="1:14" ht="15.6">
      <c r="A6" s="6" t="s">
        <v>13</v>
      </c>
      <c r="B6" s="6" t="s">
        <v>310</v>
      </c>
      <c r="C6" s="6" t="s">
        <v>311</v>
      </c>
      <c r="D6" s="6" t="s">
        <v>8</v>
      </c>
      <c r="E6" s="6" t="s">
        <v>116</v>
      </c>
      <c r="F6" s="6">
        <v>399</v>
      </c>
      <c r="G6" s="6">
        <v>399</v>
      </c>
      <c r="H6" s="6">
        <v>415</v>
      </c>
      <c r="I6" s="6">
        <f>H6-G6</f>
        <v>16</v>
      </c>
      <c r="J6" s="12">
        <f>I6/G6</f>
        <v>4.0100250626566414E-2</v>
      </c>
      <c r="K6" s="6"/>
      <c r="M6" s="2" t="s">
        <v>267</v>
      </c>
      <c r="N6" s="16">
        <f>ROUND(N5/N4,4)</f>
        <v>0.1095</v>
      </c>
    </row>
    <row r="7" spans="1:14" ht="15.6">
      <c r="A7" s="6" t="s">
        <v>312</v>
      </c>
      <c r="B7" s="6" t="s">
        <v>313</v>
      </c>
      <c r="C7" s="6" t="s">
        <v>314</v>
      </c>
      <c r="D7" s="6" t="s">
        <v>8</v>
      </c>
      <c r="E7" s="6" t="s">
        <v>5</v>
      </c>
      <c r="F7" s="6">
        <v>147</v>
      </c>
      <c r="G7" s="6"/>
      <c r="H7" s="6"/>
      <c r="I7" s="6"/>
      <c r="J7" s="12"/>
      <c r="K7" s="6"/>
      <c r="M7" s="8" t="s">
        <v>18</v>
      </c>
      <c r="N7" s="15">
        <f>N2-N3</f>
        <v>2401</v>
      </c>
    </row>
    <row r="8" spans="1:14" ht="15.6">
      <c r="A8" s="6" t="s">
        <v>312</v>
      </c>
      <c r="B8" s="6" t="s">
        <v>313</v>
      </c>
      <c r="C8" s="6" t="s">
        <v>315</v>
      </c>
      <c r="D8" s="6" t="s">
        <v>8</v>
      </c>
      <c r="E8" s="6" t="s">
        <v>319</v>
      </c>
      <c r="F8" s="6">
        <v>149</v>
      </c>
      <c r="G8" s="6"/>
      <c r="H8" s="6"/>
      <c r="I8" s="6"/>
      <c r="J8" s="12"/>
      <c r="K8" s="6"/>
    </row>
    <row r="9" spans="1:14" ht="15.6">
      <c r="A9" s="6" t="s">
        <v>316</v>
      </c>
      <c r="B9" s="6" t="s">
        <v>317</v>
      </c>
      <c r="C9" s="6" t="s">
        <v>318</v>
      </c>
      <c r="D9" s="6" t="s">
        <v>8</v>
      </c>
      <c r="E9" s="6" t="s">
        <v>5</v>
      </c>
      <c r="F9" s="6">
        <v>59</v>
      </c>
      <c r="G9" s="6"/>
      <c r="H9" s="6"/>
      <c r="I9" s="6"/>
      <c r="J9" s="12"/>
      <c r="K9" s="6" t="s">
        <v>345</v>
      </c>
    </row>
    <row r="10" spans="1:14" ht="15.6">
      <c r="A10" s="6" t="s">
        <v>598</v>
      </c>
      <c r="B10" s="6" t="s">
        <v>597</v>
      </c>
      <c r="C10" s="6" t="s">
        <v>599</v>
      </c>
      <c r="D10" s="6" t="s">
        <v>8</v>
      </c>
      <c r="E10" s="6" t="s">
        <v>116</v>
      </c>
      <c r="F10" s="6">
        <v>124</v>
      </c>
      <c r="G10" s="6">
        <v>124</v>
      </c>
      <c r="H10" s="6">
        <v>139</v>
      </c>
      <c r="I10" s="6">
        <f t="shared" ref="I10:I18" si="0">H10-G10</f>
        <v>15</v>
      </c>
      <c r="J10" s="12">
        <f t="shared" ref="J10:J18" si="1">I10/G10</f>
        <v>0.12096774193548387</v>
      </c>
      <c r="K10" s="6"/>
    </row>
    <row r="11" spans="1:14" ht="15.6">
      <c r="A11" s="6" t="s">
        <v>598</v>
      </c>
      <c r="B11" s="6" t="s">
        <v>597</v>
      </c>
      <c r="C11" s="6" t="s">
        <v>599</v>
      </c>
      <c r="D11" s="6" t="s">
        <v>8</v>
      </c>
      <c r="E11" s="6" t="s">
        <v>116</v>
      </c>
      <c r="F11" s="6">
        <v>130</v>
      </c>
      <c r="G11" s="6">
        <v>130</v>
      </c>
      <c r="H11" s="6">
        <v>143</v>
      </c>
      <c r="I11" s="6">
        <f t="shared" si="0"/>
        <v>13</v>
      </c>
      <c r="J11" s="12">
        <f t="shared" si="1"/>
        <v>0.1</v>
      </c>
      <c r="K11" s="6"/>
    </row>
    <row r="12" spans="1:14" ht="15.6">
      <c r="A12" s="6" t="s">
        <v>598</v>
      </c>
      <c r="B12" s="6" t="s">
        <v>597</v>
      </c>
      <c r="C12" s="6" t="s">
        <v>599</v>
      </c>
      <c r="D12" s="6" t="s">
        <v>8</v>
      </c>
      <c r="E12" s="6" t="s">
        <v>116</v>
      </c>
      <c r="F12" s="6">
        <v>130</v>
      </c>
      <c r="G12" s="6">
        <v>130</v>
      </c>
      <c r="H12" s="6">
        <v>157</v>
      </c>
      <c r="I12" s="6">
        <f t="shared" si="0"/>
        <v>27</v>
      </c>
      <c r="J12" s="12">
        <f t="shared" si="1"/>
        <v>0.2076923076923077</v>
      </c>
      <c r="K12" s="6"/>
    </row>
    <row r="13" spans="1:14" ht="15.6">
      <c r="A13" s="6" t="s">
        <v>598</v>
      </c>
      <c r="B13" s="6" t="s">
        <v>597</v>
      </c>
      <c r="C13" s="6" t="s">
        <v>599</v>
      </c>
      <c r="D13" s="6" t="s">
        <v>8</v>
      </c>
      <c r="E13" s="6" t="s">
        <v>116</v>
      </c>
      <c r="F13" s="6">
        <v>130</v>
      </c>
      <c r="G13" s="6">
        <v>130</v>
      </c>
      <c r="H13" s="6">
        <v>170</v>
      </c>
      <c r="I13" s="6">
        <f t="shared" si="0"/>
        <v>40</v>
      </c>
      <c r="J13" s="12">
        <f t="shared" si="1"/>
        <v>0.30769230769230771</v>
      </c>
      <c r="K13" s="6"/>
    </row>
    <row r="14" spans="1:14" ht="15.6">
      <c r="A14" s="6" t="s">
        <v>598</v>
      </c>
      <c r="B14" s="6" t="s">
        <v>597</v>
      </c>
      <c r="C14" s="6" t="s">
        <v>599</v>
      </c>
      <c r="D14" s="6" t="s">
        <v>8</v>
      </c>
      <c r="E14" s="6" t="s">
        <v>116</v>
      </c>
      <c r="F14" s="6">
        <v>130</v>
      </c>
      <c r="G14" s="6">
        <v>130</v>
      </c>
      <c r="H14" s="6">
        <v>169</v>
      </c>
      <c r="I14" s="6">
        <f t="shared" si="0"/>
        <v>39</v>
      </c>
      <c r="J14" s="12">
        <f t="shared" si="1"/>
        <v>0.3</v>
      </c>
      <c r="K14" s="6"/>
    </row>
    <row r="15" spans="1:14" ht="15.6">
      <c r="A15" s="6" t="s">
        <v>598</v>
      </c>
      <c r="B15" s="6" t="s">
        <v>597</v>
      </c>
      <c r="C15" s="6" t="s">
        <v>599</v>
      </c>
      <c r="D15" s="6" t="s">
        <v>8</v>
      </c>
      <c r="E15" s="6" t="s">
        <v>116</v>
      </c>
      <c r="F15" s="6">
        <v>130</v>
      </c>
      <c r="G15" s="6">
        <v>130</v>
      </c>
      <c r="H15" s="6">
        <v>179</v>
      </c>
      <c r="I15" s="6">
        <f t="shared" si="0"/>
        <v>49</v>
      </c>
      <c r="J15" s="12">
        <f t="shared" si="1"/>
        <v>0.37692307692307692</v>
      </c>
      <c r="K15" s="6"/>
    </row>
    <row r="16" spans="1:14" ht="15.6">
      <c r="A16" s="6" t="s">
        <v>603</v>
      </c>
      <c r="B16" s="6" t="s">
        <v>602</v>
      </c>
      <c r="C16" s="6" t="s">
        <v>604</v>
      </c>
      <c r="D16" s="6" t="s">
        <v>8</v>
      </c>
      <c r="E16" s="6" t="s">
        <v>116</v>
      </c>
      <c r="F16" s="6">
        <v>500</v>
      </c>
      <c r="G16" s="6">
        <v>500</v>
      </c>
      <c r="H16" s="6">
        <v>557</v>
      </c>
      <c r="I16" s="6">
        <f t="shared" si="0"/>
        <v>57</v>
      </c>
      <c r="J16" s="12">
        <f t="shared" si="1"/>
        <v>0.114</v>
      </c>
      <c r="K16" s="6"/>
    </row>
    <row r="17" spans="1:14" ht="15.6">
      <c r="A17" s="6" t="s">
        <v>605</v>
      </c>
      <c r="B17" s="6" t="s">
        <v>597</v>
      </c>
      <c r="C17" s="6" t="s">
        <v>606</v>
      </c>
      <c r="D17" s="6" t="s">
        <v>8</v>
      </c>
      <c r="E17" s="6" t="s">
        <v>116</v>
      </c>
      <c r="F17" s="6">
        <v>110</v>
      </c>
      <c r="G17" s="6">
        <v>110</v>
      </c>
      <c r="H17" s="6">
        <v>128</v>
      </c>
      <c r="I17" s="6">
        <f t="shared" si="0"/>
        <v>18</v>
      </c>
      <c r="J17" s="12">
        <f t="shared" si="1"/>
        <v>0.16363636363636364</v>
      </c>
      <c r="K17" s="6"/>
    </row>
    <row r="18" spans="1:14" ht="15.6">
      <c r="A18" s="6" t="s">
        <v>1406</v>
      </c>
      <c r="B18" s="6" t="s">
        <v>1407</v>
      </c>
      <c r="C18" s="6" t="s">
        <v>1000</v>
      </c>
      <c r="D18" s="6" t="s">
        <v>8</v>
      </c>
      <c r="E18" s="6" t="s">
        <v>116</v>
      </c>
      <c r="F18" s="6">
        <v>238</v>
      </c>
      <c r="G18" s="6">
        <v>238</v>
      </c>
      <c r="H18" s="6">
        <v>417</v>
      </c>
      <c r="I18" s="6">
        <f t="shared" si="0"/>
        <v>179</v>
      </c>
      <c r="J18" s="12">
        <f t="shared" si="1"/>
        <v>0.75210084033613445</v>
      </c>
      <c r="K18" s="6"/>
    </row>
    <row r="19" spans="1:14" ht="15.6">
      <c r="A19" s="6" t="s">
        <v>888</v>
      </c>
      <c r="B19" s="6" t="s">
        <v>890</v>
      </c>
      <c r="C19" s="6" t="s">
        <v>956</v>
      </c>
      <c r="D19" s="6" t="s">
        <v>8</v>
      </c>
      <c r="E19" s="6" t="s">
        <v>116</v>
      </c>
      <c r="F19" s="6">
        <v>1396</v>
      </c>
      <c r="G19" s="6">
        <v>1396</v>
      </c>
      <c r="H19" s="6">
        <v>1460</v>
      </c>
      <c r="I19" s="6">
        <f>H19-G19</f>
        <v>64</v>
      </c>
      <c r="J19" s="12">
        <f>I19/G19</f>
        <v>4.5845272206303724E-2</v>
      </c>
      <c r="K19" s="6"/>
      <c r="M19" s="6"/>
      <c r="N19" s="6"/>
    </row>
    <row r="20" spans="1:14" ht="15.6">
      <c r="A20" s="6" t="s">
        <v>888</v>
      </c>
      <c r="B20" s="6" t="s">
        <v>890</v>
      </c>
      <c r="C20" s="6" t="s">
        <v>956</v>
      </c>
      <c r="D20" s="6" t="s">
        <v>8</v>
      </c>
      <c r="E20" s="6" t="s">
        <v>116</v>
      </c>
      <c r="F20" s="6">
        <v>1396</v>
      </c>
      <c r="G20" s="6">
        <v>1396</v>
      </c>
      <c r="H20" s="6">
        <v>1441</v>
      </c>
      <c r="I20" s="6">
        <f>H20-G20</f>
        <v>45</v>
      </c>
      <c r="J20" s="12">
        <f>I20/G20</f>
        <v>3.2234957020057305E-2</v>
      </c>
      <c r="K20" s="6"/>
    </row>
    <row r="21" spans="1:14" ht="15.6">
      <c r="A21" s="6" t="s">
        <v>888</v>
      </c>
      <c r="B21" s="6" t="s">
        <v>890</v>
      </c>
      <c r="C21" s="6" t="s">
        <v>956</v>
      </c>
      <c r="D21" s="6" t="s">
        <v>8</v>
      </c>
      <c r="E21" s="6" t="s">
        <v>116</v>
      </c>
      <c r="F21" s="6">
        <v>1400</v>
      </c>
      <c r="G21" s="6">
        <v>1400</v>
      </c>
      <c r="H21" s="6">
        <v>1471</v>
      </c>
      <c r="I21" s="6">
        <f>H21-G21</f>
        <v>71</v>
      </c>
      <c r="J21" s="12">
        <f>I21/G21</f>
        <v>5.0714285714285712E-2</v>
      </c>
      <c r="K21" s="6" t="s">
        <v>1468</v>
      </c>
    </row>
    <row r="22" spans="1:14" ht="15.6">
      <c r="A22" s="6" t="s">
        <v>888</v>
      </c>
      <c r="B22" s="6" t="s">
        <v>890</v>
      </c>
      <c r="C22" s="6" t="s">
        <v>956</v>
      </c>
      <c r="D22" s="6" t="s">
        <v>8</v>
      </c>
      <c r="E22" s="6" t="s">
        <v>116</v>
      </c>
      <c r="F22" s="6">
        <v>1332</v>
      </c>
      <c r="G22" s="6">
        <v>1332</v>
      </c>
      <c r="H22" s="6">
        <v>1511</v>
      </c>
      <c r="I22" s="6">
        <f>H22-G22</f>
        <v>179</v>
      </c>
      <c r="J22" s="12">
        <f>I22/G22</f>
        <v>0.13438438438438438</v>
      </c>
      <c r="K22" s="6"/>
    </row>
    <row r="23" spans="1:14" ht="15.6">
      <c r="A23" s="6" t="s">
        <v>888</v>
      </c>
      <c r="B23" s="6" t="s">
        <v>890</v>
      </c>
      <c r="C23" s="6" t="s">
        <v>956</v>
      </c>
      <c r="D23" s="6" t="s">
        <v>8</v>
      </c>
      <c r="E23" s="6" t="s">
        <v>319</v>
      </c>
      <c r="F23" s="6">
        <v>1427</v>
      </c>
      <c r="G23" s="6"/>
      <c r="H23" s="6"/>
      <c r="I23" s="6"/>
      <c r="J23" s="12"/>
      <c r="K23" s="6"/>
    </row>
    <row r="24" spans="1:14" ht="15.6">
      <c r="A24" s="6" t="s">
        <v>888</v>
      </c>
      <c r="B24" s="6" t="s">
        <v>890</v>
      </c>
      <c r="C24" s="6" t="s">
        <v>956</v>
      </c>
      <c r="D24" s="6" t="s">
        <v>8</v>
      </c>
      <c r="E24" s="6" t="s">
        <v>319</v>
      </c>
      <c r="F24" s="6">
        <v>1294</v>
      </c>
      <c r="G24" s="6"/>
      <c r="H24" s="6"/>
      <c r="I24" s="6"/>
      <c r="J24" s="12"/>
      <c r="K24" s="6"/>
    </row>
    <row r="25" spans="1:14" ht="15.6">
      <c r="A25" s="6"/>
      <c r="B25" s="6"/>
      <c r="C25" s="6"/>
      <c r="D25" s="6"/>
      <c r="E25" s="6"/>
      <c r="F25" s="6"/>
      <c r="G25" s="6"/>
      <c r="H25" s="6"/>
      <c r="I25" s="6"/>
      <c r="J25" s="12"/>
      <c r="K25" s="6"/>
    </row>
    <row r="26" spans="1:14" ht="15.6">
      <c r="A26" s="6"/>
      <c r="B26" s="6"/>
      <c r="C26" s="6"/>
      <c r="D26" s="6"/>
      <c r="E26" s="6"/>
      <c r="F26" s="6"/>
      <c r="G26" s="6"/>
      <c r="H26" s="6"/>
      <c r="I26" s="6"/>
      <c r="J26" s="12"/>
      <c r="K26" s="6"/>
    </row>
    <row r="27" spans="1:14" ht="15.6">
      <c r="A27" s="6"/>
      <c r="B27" s="6"/>
      <c r="C27" s="6"/>
      <c r="D27" s="6"/>
      <c r="E27" s="6"/>
      <c r="F27" s="6"/>
      <c r="G27" s="6"/>
      <c r="H27" s="6"/>
      <c r="I27" s="6"/>
      <c r="J27" s="12"/>
      <c r="K27" s="6"/>
    </row>
    <row r="28" spans="1:14" ht="15.6">
      <c r="A28" s="6"/>
      <c r="B28" s="6"/>
      <c r="C28" s="6"/>
      <c r="D28" s="6"/>
      <c r="E28" s="6"/>
      <c r="F28" s="6"/>
      <c r="G28" s="6"/>
      <c r="H28" s="6"/>
      <c r="I28" s="6"/>
      <c r="J28" s="12"/>
      <c r="K28" s="6"/>
    </row>
    <row r="29" spans="1:14" ht="15.6">
      <c r="A29" s="6"/>
      <c r="B29" s="6"/>
      <c r="C29" s="6"/>
      <c r="D29" s="6"/>
      <c r="E29" s="6"/>
      <c r="F29" s="6"/>
      <c r="G29" s="6"/>
      <c r="H29" s="6"/>
      <c r="I29" s="6"/>
      <c r="J29" s="12"/>
      <c r="K29" s="6"/>
    </row>
    <row r="30" spans="1:14" ht="15.6">
      <c r="A30" s="6"/>
      <c r="B30" s="6"/>
      <c r="C30" s="6"/>
      <c r="D30" s="6"/>
      <c r="E30" s="6"/>
      <c r="F30" s="6"/>
      <c r="G30" s="6"/>
      <c r="H30" s="6"/>
      <c r="I30" s="6"/>
      <c r="J30" s="12"/>
      <c r="K30" s="6"/>
    </row>
    <row r="31" spans="1:14" ht="15.6">
      <c r="A31" s="6"/>
      <c r="B31" s="6"/>
      <c r="C31" s="6"/>
      <c r="D31" s="6"/>
      <c r="E31" s="6"/>
      <c r="F31" s="6"/>
      <c r="G31" s="6"/>
      <c r="H31" s="6"/>
      <c r="I31" s="6"/>
      <c r="J31" s="12"/>
      <c r="K31" s="6"/>
    </row>
    <row r="32" spans="1:14" ht="15.6">
      <c r="A32" s="6"/>
      <c r="B32" s="6"/>
      <c r="C32" s="6"/>
      <c r="D32" s="6"/>
      <c r="E32" s="6"/>
      <c r="F32" s="6"/>
      <c r="G32" s="6"/>
      <c r="H32" s="6"/>
      <c r="I32" s="6"/>
      <c r="J32" s="12"/>
      <c r="K32" s="6"/>
    </row>
  </sheetData>
  <autoFilter ref="A1:N1" xr:uid="{07F35359-22C9-48C4-B83E-36ED1CBC4568}"/>
  <phoneticPr fontId="1"/>
  <conditionalFormatting sqref="C2">
    <cfRule type="duplicateValues" dxfId="1293" priority="50"/>
  </conditionalFormatting>
  <conditionalFormatting sqref="A2:K2 A20:K20 A25:K32 A21:H21 K21 A19:H19 K19 G23:K24">
    <cfRule type="expression" dxfId="1292" priority="45">
      <formula>$E2="卖出"</formula>
    </cfRule>
  </conditionalFormatting>
  <conditionalFormatting sqref="C2:C17 C25:C1048576 C19:C22">
    <cfRule type="duplicateValues" dxfId="1291" priority="41"/>
  </conditionalFormatting>
  <conditionalFormatting sqref="A3:K17">
    <cfRule type="expression" dxfId="1290" priority="40">
      <formula>$E3="卖出"</formula>
    </cfRule>
  </conditionalFormatting>
  <conditionalFormatting sqref="M19:N19">
    <cfRule type="expression" dxfId="1289" priority="32">
      <formula>$G19="卖出"</formula>
    </cfRule>
  </conditionalFormatting>
  <conditionalFormatting sqref="M19">
    <cfRule type="expression" dxfId="1288" priority="35">
      <formula>$D19="卖出"</formula>
    </cfRule>
  </conditionalFormatting>
  <conditionalFormatting sqref="M19">
    <cfRule type="expression" dxfId="1287" priority="33">
      <formula>$G19="卖出"</formula>
    </cfRule>
    <cfRule type="expression" dxfId="1286" priority="34">
      <formula>$D19="卖出"</formula>
    </cfRule>
  </conditionalFormatting>
  <conditionalFormatting sqref="C19:C21 C25:C32">
    <cfRule type="duplicateValues" dxfId="1285" priority="3542"/>
  </conditionalFormatting>
  <conditionalFormatting sqref="I21:J21">
    <cfRule type="expression" dxfId="1284" priority="26">
      <formula>$E21="卖出"</formula>
    </cfRule>
  </conditionalFormatting>
  <conditionalFormatting sqref="I19:J19">
    <cfRule type="expression" dxfId="1283" priority="25">
      <formula>$E19="卖出"</formula>
    </cfRule>
  </conditionalFormatting>
  <conditionalFormatting sqref="C22">
    <cfRule type="duplicateValues" dxfId="1282" priority="16"/>
  </conditionalFormatting>
  <conditionalFormatting sqref="A22:G22 K22">
    <cfRule type="expression" dxfId="1281" priority="15">
      <formula>$E22="卖出"</formula>
    </cfRule>
  </conditionalFormatting>
  <conditionalFormatting sqref="C19:C22">
    <cfRule type="expression" dxfId="1280" priority="14">
      <formula>$E19="卖出"</formula>
    </cfRule>
  </conditionalFormatting>
  <conditionalFormatting sqref="H22">
    <cfRule type="expression" dxfId="1279" priority="13">
      <formula>$E22="卖出"</formula>
    </cfRule>
  </conditionalFormatting>
  <conditionalFormatting sqref="I22:J22">
    <cfRule type="expression" dxfId="1278" priority="12">
      <formula>$E22="卖出"</formula>
    </cfRule>
  </conditionalFormatting>
  <conditionalFormatting sqref="A23:F23">
    <cfRule type="expression" dxfId="1277" priority="10">
      <formula>$E23="卖出"</formula>
    </cfRule>
  </conditionalFormatting>
  <conditionalFormatting sqref="C23:C24">
    <cfRule type="duplicateValues" dxfId="1276" priority="9"/>
  </conditionalFormatting>
  <conditionalFormatting sqref="C23">
    <cfRule type="duplicateValues" dxfId="1275" priority="11"/>
  </conditionalFormatting>
  <conditionalFormatting sqref="C24">
    <cfRule type="duplicateValues" dxfId="1274" priority="8"/>
  </conditionalFormatting>
  <conditionalFormatting sqref="A24:F24">
    <cfRule type="expression" dxfId="1273" priority="7">
      <formula>$E24="卖出"</formula>
    </cfRule>
  </conditionalFormatting>
  <conditionalFormatting sqref="C23:C24">
    <cfRule type="expression" dxfId="1272" priority="6">
      <formula>$E23="卖出"</formula>
    </cfRule>
  </conditionalFormatting>
  <conditionalFormatting sqref="A18:K18">
    <cfRule type="expression" dxfId="1271" priority="1">
      <formula>$E18="卖出"</formula>
    </cfRule>
  </conditionalFormatting>
  <conditionalFormatting sqref="C18">
    <cfRule type="duplicateValues" dxfId="1270" priority="2"/>
  </conditionalFormatting>
  <dataValidations count="2">
    <dataValidation type="list" allowBlank="1" showInputMessage="1" showErrorMessage="1" sqref="E2:E24" xr:uid="{9F7CB8B5-F886-4FE0-AC0D-434570DE301B}">
      <formula1>"留存,卖出"</formula1>
    </dataValidation>
    <dataValidation type="list" allowBlank="1" showInputMessage="1" showErrorMessage="1" sqref="D2:D24" xr:uid="{7505ED6D-F04C-446E-89C4-FCD834B8DAC3}">
      <formula1>"全新,内袋未拆,拆摆,待定"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3097-75E5-418C-878A-BE8DCC717846}">
  <dimension ref="A1:W211"/>
  <sheetViews>
    <sheetView topLeftCell="A121" zoomScaleNormal="100" workbookViewId="0">
      <selection activeCell="G216" sqref="G216"/>
    </sheetView>
  </sheetViews>
  <sheetFormatPr defaultRowHeight="14.4"/>
  <cols>
    <col min="1" max="1" width="32.33203125" bestFit="1" customWidth="1"/>
    <col min="2" max="2" width="7.88671875" bestFit="1" customWidth="1"/>
    <col min="3" max="3" width="14.33203125" customWidth="1"/>
    <col min="4" max="4" width="14.6640625" bestFit="1" customWidth="1"/>
    <col min="5" max="7" width="12.44140625" customWidth="1"/>
    <col min="8" max="8" width="14.33203125" bestFit="1" customWidth="1"/>
    <col min="9" max="9" width="10.44140625" bestFit="1" customWidth="1"/>
    <col min="10" max="10" width="10.44140625" customWidth="1"/>
    <col min="11" max="11" width="10.44140625" bestFit="1" customWidth="1"/>
    <col min="16" max="17" width="10.44140625" bestFit="1" customWidth="1"/>
    <col min="20" max="20" width="34.33203125" bestFit="1" customWidth="1"/>
  </cols>
  <sheetData>
    <row r="1" spans="1:23" ht="16.2">
      <c r="A1" s="9" t="s">
        <v>12</v>
      </c>
      <c r="B1" s="9" t="s">
        <v>792</v>
      </c>
      <c r="C1" s="9" t="s">
        <v>1348</v>
      </c>
      <c r="D1" s="9" t="s">
        <v>791</v>
      </c>
      <c r="E1" s="9" t="s">
        <v>1347</v>
      </c>
      <c r="F1" s="9" t="s">
        <v>841</v>
      </c>
      <c r="G1" s="9" t="s">
        <v>842</v>
      </c>
      <c r="H1" s="9" t="s">
        <v>813</v>
      </c>
      <c r="I1" s="9" t="s">
        <v>7</v>
      </c>
      <c r="J1" s="9" t="s">
        <v>1422</v>
      </c>
      <c r="K1" s="9" t="s">
        <v>1345</v>
      </c>
      <c r="L1" s="9" t="s">
        <v>2</v>
      </c>
      <c r="M1" s="9" t="s">
        <v>11</v>
      </c>
      <c r="N1" s="9" t="s">
        <v>1749</v>
      </c>
      <c r="O1" s="9" t="s">
        <v>1750</v>
      </c>
      <c r="P1" s="9" t="s">
        <v>283</v>
      </c>
      <c r="Q1" s="9" t="s">
        <v>3</v>
      </c>
      <c r="R1" s="9" t="s">
        <v>280</v>
      </c>
      <c r="S1" s="9" t="s">
        <v>267</v>
      </c>
      <c r="T1" s="9" t="s">
        <v>705</v>
      </c>
    </row>
    <row r="2" spans="1:23" ht="15.6">
      <c r="A2" s="1" t="s">
        <v>574</v>
      </c>
      <c r="B2" s="1" t="s">
        <v>269</v>
      </c>
      <c r="C2" s="1" t="s">
        <v>1475</v>
      </c>
      <c r="D2" s="1" t="s">
        <v>786</v>
      </c>
      <c r="E2" s="1">
        <v>34</v>
      </c>
      <c r="F2" s="1" t="s">
        <v>1263</v>
      </c>
      <c r="G2" s="1" t="s">
        <v>843</v>
      </c>
      <c r="H2" s="1" t="s">
        <v>814</v>
      </c>
      <c r="I2" s="1" t="s">
        <v>8</v>
      </c>
      <c r="J2" s="6"/>
      <c r="K2" s="6"/>
      <c r="L2" s="6" t="s">
        <v>5</v>
      </c>
      <c r="M2" s="6">
        <v>1939</v>
      </c>
      <c r="N2" s="6"/>
      <c r="O2" s="6"/>
      <c r="P2" s="6"/>
      <c r="Q2" s="6"/>
      <c r="R2" s="6"/>
      <c r="S2" s="12"/>
      <c r="T2" s="1" t="s">
        <v>519</v>
      </c>
      <c r="V2" s="8" t="s">
        <v>16</v>
      </c>
      <c r="W2" s="8">
        <f>SUM(M:M)</f>
        <v>55327</v>
      </c>
    </row>
    <row r="3" spans="1:23" ht="15.6">
      <c r="A3" s="6" t="s">
        <v>574</v>
      </c>
      <c r="B3" s="1" t="s">
        <v>269</v>
      </c>
      <c r="C3" s="1" t="s">
        <v>1598</v>
      </c>
      <c r="D3" s="6" t="s">
        <v>796</v>
      </c>
      <c r="E3" s="6">
        <v>42</v>
      </c>
      <c r="F3" s="6" t="s">
        <v>1264</v>
      </c>
      <c r="G3" s="1" t="s">
        <v>843</v>
      </c>
      <c r="H3" s="1" t="s">
        <v>814</v>
      </c>
      <c r="I3" s="1" t="s">
        <v>8</v>
      </c>
      <c r="J3" s="6"/>
      <c r="K3" s="6"/>
      <c r="L3" s="6" t="s">
        <v>5</v>
      </c>
      <c r="M3" s="6">
        <v>1001</v>
      </c>
      <c r="N3" s="6"/>
      <c r="O3" s="6"/>
      <c r="P3" s="6"/>
      <c r="Q3" s="6"/>
      <c r="R3" s="6"/>
      <c r="S3" s="12"/>
      <c r="T3" s="6" t="s">
        <v>706</v>
      </c>
      <c r="V3" s="8" t="s">
        <v>17</v>
      </c>
      <c r="W3" s="8">
        <f>SUM(Q:Q)</f>
        <v>726</v>
      </c>
    </row>
    <row r="4" spans="1:23" ht="15.6">
      <c r="A4" s="6" t="s">
        <v>789</v>
      </c>
      <c r="B4" s="1" t="s">
        <v>269</v>
      </c>
      <c r="C4" s="1" t="s">
        <v>1475</v>
      </c>
      <c r="D4" s="1" t="s">
        <v>786</v>
      </c>
      <c r="E4" s="6">
        <v>15</v>
      </c>
      <c r="F4" s="1" t="s">
        <v>1263</v>
      </c>
      <c r="G4" s="1" t="s">
        <v>843</v>
      </c>
      <c r="H4" s="1" t="s">
        <v>814</v>
      </c>
      <c r="I4" s="1" t="s">
        <v>8</v>
      </c>
      <c r="J4" s="6"/>
      <c r="K4" s="6"/>
      <c r="L4" s="6" t="s">
        <v>5</v>
      </c>
      <c r="M4" s="6">
        <v>895</v>
      </c>
      <c r="N4" s="6"/>
      <c r="O4" s="6"/>
      <c r="P4" s="6"/>
      <c r="Q4" s="6"/>
      <c r="R4" s="6"/>
      <c r="S4" s="12"/>
      <c r="T4" s="6" t="s">
        <v>706</v>
      </c>
      <c r="V4" s="2" t="s">
        <v>281</v>
      </c>
      <c r="W4" s="8">
        <f>SUM(P:P)</f>
        <v>721</v>
      </c>
    </row>
    <row r="5" spans="1:23" ht="15.6">
      <c r="A5" s="6" t="s">
        <v>854</v>
      </c>
      <c r="B5" s="1" t="s">
        <v>269</v>
      </c>
      <c r="C5" s="1" t="s">
        <v>1575</v>
      </c>
      <c r="D5" s="6" t="s">
        <v>818</v>
      </c>
      <c r="E5" s="6">
        <v>1</v>
      </c>
      <c r="F5" s="6" t="s">
        <v>1265</v>
      </c>
      <c r="G5" s="1" t="s">
        <v>843</v>
      </c>
      <c r="H5" s="1" t="s">
        <v>814</v>
      </c>
      <c r="I5" s="1" t="s">
        <v>8</v>
      </c>
      <c r="J5" s="6"/>
      <c r="L5" s="6" t="s">
        <v>5</v>
      </c>
      <c r="M5" s="6">
        <v>3</v>
      </c>
      <c r="N5" s="6"/>
      <c r="O5" s="6"/>
      <c r="T5" s="6" t="s">
        <v>706</v>
      </c>
      <c r="V5" s="8" t="s">
        <v>280</v>
      </c>
      <c r="W5" s="8">
        <f>SUM(R:R)</f>
        <v>5</v>
      </c>
    </row>
    <row r="6" spans="1:23" ht="15.6">
      <c r="A6" s="6" t="s">
        <v>1450</v>
      </c>
      <c r="B6" s="1" t="s">
        <v>269</v>
      </c>
      <c r="C6" s="1" t="s">
        <v>1475</v>
      </c>
      <c r="D6" s="6" t="s">
        <v>790</v>
      </c>
      <c r="E6" s="6">
        <v>1</v>
      </c>
      <c r="F6" s="6" t="s">
        <v>1264</v>
      </c>
      <c r="G6" s="1" t="s">
        <v>843</v>
      </c>
      <c r="H6" s="1" t="s">
        <v>814</v>
      </c>
      <c r="I6" s="1" t="s">
        <v>8</v>
      </c>
      <c r="J6" s="6"/>
      <c r="L6" s="6" t="s">
        <v>5</v>
      </c>
      <c r="M6" s="6">
        <v>12</v>
      </c>
      <c r="N6" s="6"/>
      <c r="O6" s="6"/>
      <c r="T6" s="6" t="s">
        <v>711</v>
      </c>
      <c r="V6" s="2" t="s">
        <v>267</v>
      </c>
      <c r="W6" s="7">
        <f>ROUND(W5/W4,4)</f>
        <v>6.8999999999999999E-3</v>
      </c>
    </row>
    <row r="7" spans="1:23" ht="15.6">
      <c r="A7" s="6" t="s">
        <v>1547</v>
      </c>
      <c r="B7" s="1" t="s">
        <v>269</v>
      </c>
      <c r="C7" s="1" t="s">
        <v>1475</v>
      </c>
      <c r="D7" s="6" t="s">
        <v>790</v>
      </c>
      <c r="E7" s="6">
        <v>1</v>
      </c>
      <c r="F7" s="6" t="s">
        <v>1265</v>
      </c>
      <c r="G7" s="1" t="s">
        <v>843</v>
      </c>
      <c r="H7" s="1" t="s">
        <v>814</v>
      </c>
      <c r="I7" s="1" t="s">
        <v>8</v>
      </c>
      <c r="J7" s="6"/>
      <c r="L7" s="6" t="s">
        <v>5</v>
      </c>
      <c r="M7" s="6">
        <v>0</v>
      </c>
      <c r="N7" s="6"/>
      <c r="O7" s="6"/>
      <c r="T7" s="6" t="s">
        <v>711</v>
      </c>
      <c r="V7" s="8" t="s">
        <v>18</v>
      </c>
      <c r="W7" s="8">
        <f>W2-W3</f>
        <v>54601</v>
      </c>
    </row>
    <row r="8" spans="1:23" ht="15.6">
      <c r="A8" s="6" t="s">
        <v>784</v>
      </c>
      <c r="B8" s="1" t="s">
        <v>269</v>
      </c>
      <c r="C8" s="1" t="s">
        <v>1475</v>
      </c>
      <c r="D8" s="6" t="s">
        <v>790</v>
      </c>
      <c r="E8" s="6">
        <v>17</v>
      </c>
      <c r="F8" s="6" t="s">
        <v>1265</v>
      </c>
      <c r="G8" s="1" t="s">
        <v>843</v>
      </c>
      <c r="H8" s="6" t="s">
        <v>827</v>
      </c>
      <c r="I8" s="1" t="s">
        <v>8</v>
      </c>
      <c r="J8" s="6"/>
      <c r="K8" s="6"/>
      <c r="L8" s="6" t="s">
        <v>5</v>
      </c>
      <c r="M8" s="6">
        <v>520</v>
      </c>
      <c r="N8" s="6"/>
      <c r="O8" s="6"/>
      <c r="P8" s="6"/>
      <c r="Q8" s="6"/>
      <c r="R8" s="6"/>
      <c r="S8" s="12"/>
      <c r="T8" s="6" t="s">
        <v>711</v>
      </c>
    </row>
    <row r="9" spans="1:23" ht="15.6">
      <c r="A9" s="6" t="s">
        <v>1567</v>
      </c>
      <c r="B9" s="1" t="s">
        <v>269</v>
      </c>
      <c r="C9" s="1" t="s">
        <v>1475</v>
      </c>
      <c r="D9" s="6" t="s">
        <v>790</v>
      </c>
      <c r="E9" s="6">
        <v>1</v>
      </c>
      <c r="F9" s="6" t="s">
        <v>1265</v>
      </c>
      <c r="G9" s="1" t="s">
        <v>843</v>
      </c>
      <c r="H9" s="6" t="s">
        <v>827</v>
      </c>
      <c r="I9" s="1" t="s">
        <v>8</v>
      </c>
      <c r="J9" s="6" t="s">
        <v>1503</v>
      </c>
      <c r="K9" s="6"/>
      <c r="L9" s="6" t="s">
        <v>5</v>
      </c>
      <c r="M9" s="6">
        <v>32</v>
      </c>
      <c r="N9" s="6"/>
      <c r="O9" s="6"/>
      <c r="P9" s="6"/>
      <c r="Q9" s="6"/>
      <c r="R9" s="6"/>
      <c r="S9" s="12"/>
      <c r="T9" s="6" t="s">
        <v>711</v>
      </c>
    </row>
    <row r="10" spans="1:23" ht="15.6">
      <c r="A10" s="6" t="s">
        <v>785</v>
      </c>
      <c r="B10" s="1" t="s">
        <v>269</v>
      </c>
      <c r="C10" s="1" t="s">
        <v>1482</v>
      </c>
      <c r="D10" s="6" t="s">
        <v>1011</v>
      </c>
      <c r="E10" s="6">
        <v>23</v>
      </c>
      <c r="F10" s="6" t="s">
        <v>1265</v>
      </c>
      <c r="G10" s="1" t="s">
        <v>843</v>
      </c>
      <c r="H10" s="6" t="s">
        <v>816</v>
      </c>
      <c r="I10" s="1" t="s">
        <v>8</v>
      </c>
      <c r="J10" s="6"/>
      <c r="K10" s="6"/>
      <c r="L10" s="6" t="s">
        <v>5</v>
      </c>
      <c r="M10" s="6">
        <v>1058</v>
      </c>
      <c r="N10" s="6"/>
      <c r="O10" s="6"/>
      <c r="P10" s="6"/>
      <c r="Q10" s="6"/>
      <c r="R10" s="6"/>
      <c r="S10" s="12"/>
      <c r="T10" s="6" t="s">
        <v>793</v>
      </c>
    </row>
    <row r="11" spans="1:23" ht="15.6">
      <c r="A11" s="6" t="s">
        <v>787</v>
      </c>
      <c r="B11" s="1" t="s">
        <v>269</v>
      </c>
      <c r="C11" s="1" t="s">
        <v>1475</v>
      </c>
      <c r="D11" s="6" t="s">
        <v>790</v>
      </c>
      <c r="E11" s="6">
        <v>23</v>
      </c>
      <c r="F11" s="6" t="s">
        <v>1264</v>
      </c>
      <c r="G11" s="1" t="s">
        <v>843</v>
      </c>
      <c r="H11" s="6" t="s">
        <v>828</v>
      </c>
      <c r="I11" s="1" t="s">
        <v>8</v>
      </c>
      <c r="J11" s="6"/>
      <c r="K11" s="6"/>
      <c r="L11" s="6" t="s">
        <v>5</v>
      </c>
      <c r="M11" s="6">
        <v>404</v>
      </c>
      <c r="N11" s="6"/>
      <c r="O11" s="6"/>
      <c r="P11" s="6"/>
      <c r="Q11" s="6"/>
      <c r="R11" s="6"/>
      <c r="S11" s="12"/>
      <c r="T11" s="6" t="s">
        <v>706</v>
      </c>
    </row>
    <row r="12" spans="1:23" ht="15.6">
      <c r="A12" s="6" t="s">
        <v>788</v>
      </c>
      <c r="B12" s="1" t="s">
        <v>269</v>
      </c>
      <c r="C12" s="1" t="s">
        <v>1574</v>
      </c>
      <c r="D12" s="6" t="s">
        <v>818</v>
      </c>
      <c r="E12" s="6"/>
      <c r="F12" s="1" t="s">
        <v>1263</v>
      </c>
      <c r="G12" s="1" t="s">
        <v>843</v>
      </c>
      <c r="H12" s="1" t="s">
        <v>825</v>
      </c>
      <c r="I12" s="1" t="s">
        <v>8</v>
      </c>
      <c r="J12" s="6"/>
      <c r="K12" s="6"/>
      <c r="L12" s="6" t="s">
        <v>5</v>
      </c>
      <c r="M12" s="6">
        <v>131</v>
      </c>
      <c r="N12" s="6"/>
      <c r="O12" s="6"/>
      <c r="P12" s="6"/>
      <c r="Q12" s="6"/>
      <c r="R12" s="6"/>
      <c r="S12" s="12"/>
      <c r="T12" s="6" t="s">
        <v>1267</v>
      </c>
    </row>
    <row r="13" spans="1:23" ht="15.6">
      <c r="A13" s="6" t="s">
        <v>788</v>
      </c>
      <c r="B13" s="1" t="s">
        <v>269</v>
      </c>
      <c r="C13" s="1" t="s">
        <v>1475</v>
      </c>
      <c r="D13" s="1" t="s">
        <v>786</v>
      </c>
      <c r="E13" s="6">
        <v>15</v>
      </c>
      <c r="F13" s="1" t="s">
        <v>1263</v>
      </c>
      <c r="G13" s="1" t="s">
        <v>843</v>
      </c>
      <c r="H13" s="1" t="s">
        <v>825</v>
      </c>
      <c r="I13" s="1" t="s">
        <v>8</v>
      </c>
      <c r="J13" s="6"/>
      <c r="L13" s="6" t="s">
        <v>5</v>
      </c>
      <c r="M13" s="6">
        <v>664</v>
      </c>
      <c r="N13" s="6"/>
      <c r="O13" s="6"/>
      <c r="T13" s="6" t="s">
        <v>706</v>
      </c>
    </row>
    <row r="14" spans="1:23" ht="15.6">
      <c r="A14" s="6" t="s">
        <v>794</v>
      </c>
      <c r="B14" s="1" t="s">
        <v>269</v>
      </c>
      <c r="C14" s="1" t="s">
        <v>1475</v>
      </c>
      <c r="D14" s="6" t="s">
        <v>795</v>
      </c>
      <c r="E14" s="6">
        <v>11</v>
      </c>
      <c r="F14" s="6" t="s">
        <v>1265</v>
      </c>
      <c r="G14" s="1" t="s">
        <v>843</v>
      </c>
      <c r="H14" s="6" t="s">
        <v>794</v>
      </c>
      <c r="I14" s="1" t="s">
        <v>8</v>
      </c>
      <c r="J14" s="6"/>
      <c r="K14" s="6"/>
      <c r="L14" s="6" t="s">
        <v>5</v>
      </c>
      <c r="M14" s="6">
        <v>639</v>
      </c>
      <c r="N14" s="6"/>
      <c r="O14" s="6"/>
      <c r="P14" s="6"/>
      <c r="Q14" s="6"/>
      <c r="R14" s="6"/>
      <c r="S14" s="12"/>
      <c r="T14" s="6" t="s">
        <v>793</v>
      </c>
    </row>
    <row r="15" spans="1:23" ht="15.6">
      <c r="A15" s="6" t="s">
        <v>1417</v>
      </c>
      <c r="B15" s="1" t="s">
        <v>269</v>
      </c>
      <c r="C15" s="1" t="s">
        <v>1475</v>
      </c>
      <c r="D15" s="6" t="s">
        <v>795</v>
      </c>
      <c r="E15" s="6">
        <v>1</v>
      </c>
      <c r="F15" s="6" t="s">
        <v>1265</v>
      </c>
      <c r="G15" s="1" t="s">
        <v>843</v>
      </c>
      <c r="H15" s="6" t="s">
        <v>794</v>
      </c>
      <c r="I15" s="1" t="s">
        <v>29</v>
      </c>
      <c r="J15" s="6"/>
      <c r="K15" s="6"/>
      <c r="L15" s="6" t="s">
        <v>5</v>
      </c>
      <c r="M15" s="6">
        <v>20</v>
      </c>
      <c r="N15" s="6"/>
      <c r="O15" s="6"/>
      <c r="P15" s="6"/>
      <c r="Q15" s="6"/>
      <c r="R15" s="6"/>
      <c r="S15" s="12"/>
      <c r="T15" s="6" t="s">
        <v>711</v>
      </c>
    </row>
    <row r="16" spans="1:23" ht="15.6">
      <c r="A16" s="6" t="s">
        <v>1042</v>
      </c>
      <c r="B16" s="1" t="s">
        <v>269</v>
      </c>
      <c r="C16" s="1" t="s">
        <v>1601</v>
      </c>
      <c r="D16" s="6" t="s">
        <v>1043</v>
      </c>
      <c r="E16" s="6">
        <v>1</v>
      </c>
      <c r="F16" s="6" t="s">
        <v>1265</v>
      </c>
      <c r="G16" s="1" t="s">
        <v>843</v>
      </c>
      <c r="H16" s="6" t="s">
        <v>794</v>
      </c>
      <c r="I16" s="1" t="s">
        <v>8</v>
      </c>
      <c r="J16" s="6"/>
      <c r="K16" s="6"/>
      <c r="L16" s="6" t="s">
        <v>5</v>
      </c>
      <c r="M16" s="6">
        <v>65</v>
      </c>
      <c r="N16" s="6"/>
      <c r="O16" s="6"/>
      <c r="P16" s="6"/>
      <c r="Q16" s="6"/>
      <c r="R16" s="6"/>
      <c r="S16" s="12"/>
      <c r="T16" s="6" t="s">
        <v>1018</v>
      </c>
    </row>
    <row r="17" spans="1:20" ht="15.6">
      <c r="A17" s="6" t="s">
        <v>1485</v>
      </c>
      <c r="B17" s="1" t="s">
        <v>1484</v>
      </c>
      <c r="C17" s="1" t="s">
        <v>1600</v>
      </c>
      <c r="D17" s="6" t="s">
        <v>1043</v>
      </c>
      <c r="E17" s="6">
        <v>1</v>
      </c>
      <c r="F17" s="1" t="s">
        <v>1274</v>
      </c>
      <c r="G17" s="1" t="s">
        <v>843</v>
      </c>
      <c r="H17" s="6" t="s">
        <v>794</v>
      </c>
      <c r="I17" s="1" t="s">
        <v>8</v>
      </c>
      <c r="J17" s="6"/>
      <c r="K17" s="6"/>
      <c r="L17" s="6" t="s">
        <v>5</v>
      </c>
      <c r="M17" s="6">
        <v>176</v>
      </c>
      <c r="N17" s="6"/>
      <c r="O17" s="6"/>
      <c r="P17" s="6"/>
      <c r="Q17" s="6"/>
      <c r="R17" s="6"/>
      <c r="S17" s="12"/>
      <c r="T17" s="6" t="s">
        <v>1018</v>
      </c>
    </row>
    <row r="18" spans="1:20" ht="15.6">
      <c r="A18" s="6" t="s">
        <v>1485</v>
      </c>
      <c r="B18" s="1" t="s">
        <v>1484</v>
      </c>
      <c r="C18" s="1" t="s">
        <v>1475</v>
      </c>
      <c r="D18" s="6" t="s">
        <v>790</v>
      </c>
      <c r="E18" s="6">
        <v>1</v>
      </c>
      <c r="F18" s="1" t="s">
        <v>1274</v>
      </c>
      <c r="G18" s="1" t="s">
        <v>843</v>
      </c>
      <c r="H18" s="6" t="s">
        <v>794</v>
      </c>
      <c r="I18" s="1" t="s">
        <v>8</v>
      </c>
      <c r="J18" s="6"/>
      <c r="K18" s="6"/>
      <c r="L18" s="6" t="s">
        <v>5</v>
      </c>
      <c r="M18" s="6">
        <v>134</v>
      </c>
      <c r="N18" s="6"/>
      <c r="O18" s="6"/>
      <c r="P18" s="6"/>
      <c r="Q18" s="6"/>
      <c r="R18" s="6"/>
      <c r="S18" s="12"/>
      <c r="T18" s="6" t="s">
        <v>711</v>
      </c>
    </row>
    <row r="19" spans="1:20" ht="15.6">
      <c r="A19" s="6" t="s">
        <v>1189</v>
      </c>
      <c r="B19" s="1" t="s">
        <v>269</v>
      </c>
      <c r="C19" s="1" t="s">
        <v>1475</v>
      </c>
      <c r="D19" s="6" t="s">
        <v>790</v>
      </c>
      <c r="E19" s="6">
        <v>1</v>
      </c>
      <c r="F19" s="1" t="s">
        <v>1263</v>
      </c>
      <c r="G19" s="1" t="s">
        <v>843</v>
      </c>
      <c r="H19" s="6" t="s">
        <v>794</v>
      </c>
      <c r="I19" s="1" t="s">
        <v>8</v>
      </c>
      <c r="J19" s="6"/>
      <c r="L19" s="6" t="s">
        <v>5</v>
      </c>
      <c r="M19" s="6">
        <v>69</v>
      </c>
      <c r="N19" s="6"/>
      <c r="O19" s="6"/>
      <c r="T19" s="6" t="s">
        <v>711</v>
      </c>
    </row>
    <row r="20" spans="1:20" ht="15.6">
      <c r="A20" s="6" t="s">
        <v>1196</v>
      </c>
      <c r="B20" s="1" t="s">
        <v>269</v>
      </c>
      <c r="C20" s="1" t="s">
        <v>1475</v>
      </c>
      <c r="D20" s="6" t="s">
        <v>790</v>
      </c>
      <c r="E20" s="6">
        <v>1</v>
      </c>
      <c r="F20" s="1" t="s">
        <v>1263</v>
      </c>
      <c r="G20" s="1" t="s">
        <v>843</v>
      </c>
      <c r="H20" s="6" t="s">
        <v>794</v>
      </c>
      <c r="I20" s="1" t="s">
        <v>8</v>
      </c>
      <c r="J20" s="6"/>
      <c r="L20" s="6" t="s">
        <v>5</v>
      </c>
      <c r="M20" s="6">
        <v>55</v>
      </c>
      <c r="N20" s="6"/>
      <c r="O20" s="6"/>
      <c r="T20" s="6" t="s">
        <v>711</v>
      </c>
    </row>
    <row r="21" spans="1:20" ht="15.6">
      <c r="A21" s="6" t="s">
        <v>1190</v>
      </c>
      <c r="B21" s="1" t="s">
        <v>269</v>
      </c>
      <c r="C21" s="1" t="s">
        <v>1475</v>
      </c>
      <c r="D21" s="6" t="s">
        <v>790</v>
      </c>
      <c r="E21" s="6">
        <v>1</v>
      </c>
      <c r="F21" s="1" t="s">
        <v>1263</v>
      </c>
      <c r="G21" s="1" t="s">
        <v>843</v>
      </c>
      <c r="H21" s="6" t="s">
        <v>794</v>
      </c>
      <c r="I21" s="1" t="s">
        <v>8</v>
      </c>
      <c r="J21" s="6"/>
      <c r="L21" s="6" t="s">
        <v>5</v>
      </c>
      <c r="M21" s="6">
        <v>55</v>
      </c>
      <c r="N21" s="6"/>
      <c r="O21" s="6"/>
      <c r="T21" s="6" t="s">
        <v>711</v>
      </c>
    </row>
    <row r="22" spans="1:20" ht="15.6">
      <c r="A22" s="6" t="s">
        <v>1191</v>
      </c>
      <c r="B22" s="1" t="s">
        <v>269</v>
      </c>
      <c r="C22" s="1" t="s">
        <v>1475</v>
      </c>
      <c r="D22" s="6" t="s">
        <v>790</v>
      </c>
      <c r="E22" s="6">
        <v>1</v>
      </c>
      <c r="F22" s="6" t="s">
        <v>1265</v>
      </c>
      <c r="G22" s="1" t="s">
        <v>843</v>
      </c>
      <c r="H22" s="6" t="s">
        <v>794</v>
      </c>
      <c r="I22" s="1" t="s">
        <v>8</v>
      </c>
      <c r="J22" s="6"/>
      <c r="L22" s="6" t="s">
        <v>5</v>
      </c>
      <c r="M22" s="6">
        <v>46</v>
      </c>
      <c r="N22" s="6"/>
      <c r="O22" s="6"/>
      <c r="T22" s="6" t="s">
        <v>711</v>
      </c>
    </row>
    <row r="23" spans="1:20" ht="15.6">
      <c r="A23" s="6" t="s">
        <v>1193</v>
      </c>
      <c r="B23" s="1" t="s">
        <v>269</v>
      </c>
      <c r="C23" s="1" t="s">
        <v>1475</v>
      </c>
      <c r="D23" s="6" t="s">
        <v>790</v>
      </c>
      <c r="E23" s="6">
        <v>1</v>
      </c>
      <c r="F23" s="6" t="s">
        <v>1265</v>
      </c>
      <c r="G23" s="1" t="s">
        <v>843</v>
      </c>
      <c r="H23" s="6" t="s">
        <v>794</v>
      </c>
      <c r="I23" s="1" t="s">
        <v>8</v>
      </c>
      <c r="J23" s="6"/>
      <c r="L23" s="6" t="s">
        <v>5</v>
      </c>
      <c r="M23" s="6">
        <v>41</v>
      </c>
      <c r="N23" s="6"/>
      <c r="O23" s="6"/>
      <c r="T23" s="6" t="s">
        <v>711</v>
      </c>
    </row>
    <row r="24" spans="1:20" ht="15.6">
      <c r="A24" s="6" t="s">
        <v>1194</v>
      </c>
      <c r="B24" s="1" t="s">
        <v>269</v>
      </c>
      <c r="C24" s="1" t="s">
        <v>1475</v>
      </c>
      <c r="D24" s="6" t="s">
        <v>790</v>
      </c>
      <c r="E24" s="6">
        <v>1</v>
      </c>
      <c r="F24" s="6" t="s">
        <v>1264</v>
      </c>
      <c r="G24" s="1" t="s">
        <v>843</v>
      </c>
      <c r="H24" s="6" t="s">
        <v>794</v>
      </c>
      <c r="I24" s="1" t="s">
        <v>8</v>
      </c>
      <c r="J24" s="6"/>
      <c r="L24" s="6" t="s">
        <v>5</v>
      </c>
      <c r="M24" s="6">
        <v>41</v>
      </c>
      <c r="N24" s="6"/>
      <c r="O24" s="6"/>
      <c r="T24" s="6" t="s">
        <v>711</v>
      </c>
    </row>
    <row r="25" spans="1:20" ht="15.6">
      <c r="A25" s="6" t="s">
        <v>1195</v>
      </c>
      <c r="B25" s="1" t="s">
        <v>269</v>
      </c>
      <c r="C25" s="1" t="s">
        <v>1475</v>
      </c>
      <c r="D25" s="6" t="s">
        <v>790</v>
      </c>
      <c r="E25" s="6">
        <v>1</v>
      </c>
      <c r="F25" s="6" t="s">
        <v>1265</v>
      </c>
      <c r="G25" s="1" t="s">
        <v>843</v>
      </c>
      <c r="H25" s="6" t="s">
        <v>794</v>
      </c>
      <c r="I25" s="1" t="s">
        <v>8</v>
      </c>
      <c r="J25" s="6"/>
      <c r="L25" s="6" t="s">
        <v>5</v>
      </c>
      <c r="M25" s="6">
        <v>41</v>
      </c>
      <c r="N25" s="6"/>
      <c r="O25" s="6"/>
      <c r="T25" s="6" t="s">
        <v>711</v>
      </c>
    </row>
    <row r="26" spans="1:20" ht="15.6">
      <c r="A26" s="6" t="s">
        <v>1207</v>
      </c>
      <c r="B26" s="1" t="s">
        <v>269</v>
      </c>
      <c r="C26" s="1" t="s">
        <v>1475</v>
      </c>
      <c r="D26" s="6" t="s">
        <v>790</v>
      </c>
      <c r="E26" s="6">
        <v>1</v>
      </c>
      <c r="F26" s="6" t="s">
        <v>1265</v>
      </c>
      <c r="G26" s="1" t="s">
        <v>843</v>
      </c>
      <c r="H26" s="6" t="s">
        <v>794</v>
      </c>
      <c r="I26" s="1" t="s">
        <v>8</v>
      </c>
      <c r="J26" s="6"/>
      <c r="L26" s="6" t="s">
        <v>5</v>
      </c>
      <c r="M26" s="6">
        <v>28</v>
      </c>
      <c r="N26" s="6"/>
      <c r="O26" s="6"/>
      <c r="T26" s="6" t="s">
        <v>711</v>
      </c>
    </row>
    <row r="27" spans="1:20" ht="15.6">
      <c r="A27" s="6" t="s">
        <v>1408</v>
      </c>
      <c r="B27" s="1" t="s">
        <v>269</v>
      </c>
      <c r="C27" s="1" t="s">
        <v>1475</v>
      </c>
      <c r="D27" s="6" t="s">
        <v>790</v>
      </c>
      <c r="E27" s="6">
        <v>1</v>
      </c>
      <c r="F27" s="6" t="s">
        <v>1265</v>
      </c>
      <c r="G27" s="1" t="s">
        <v>843</v>
      </c>
      <c r="H27" s="6" t="s">
        <v>794</v>
      </c>
      <c r="I27" s="1" t="s">
        <v>8</v>
      </c>
      <c r="J27" s="6"/>
      <c r="L27" s="6" t="s">
        <v>5</v>
      </c>
      <c r="M27" s="6">
        <v>33</v>
      </c>
      <c r="N27" s="6"/>
      <c r="O27" s="6"/>
      <c r="T27" s="6" t="s">
        <v>711</v>
      </c>
    </row>
    <row r="28" spans="1:20" ht="15.6">
      <c r="A28" s="6" t="s">
        <v>1412</v>
      </c>
      <c r="B28" s="1" t="s">
        <v>269</v>
      </c>
      <c r="C28" s="1" t="s">
        <v>1475</v>
      </c>
      <c r="D28" s="6" t="s">
        <v>790</v>
      </c>
      <c r="E28" s="6">
        <v>1</v>
      </c>
      <c r="F28" s="6" t="s">
        <v>1265</v>
      </c>
      <c r="G28" s="1" t="s">
        <v>843</v>
      </c>
      <c r="H28" s="6" t="s">
        <v>794</v>
      </c>
      <c r="I28" s="1" t="s">
        <v>8</v>
      </c>
      <c r="J28" s="6"/>
      <c r="L28" s="6" t="s">
        <v>5</v>
      </c>
      <c r="M28" s="6">
        <v>39</v>
      </c>
      <c r="N28" s="6"/>
      <c r="O28" s="6"/>
      <c r="T28" s="6" t="s">
        <v>711</v>
      </c>
    </row>
    <row r="29" spans="1:20" ht="15.6">
      <c r="A29" s="6" t="s">
        <v>1462</v>
      </c>
      <c r="B29" s="1" t="s">
        <v>269</v>
      </c>
      <c r="C29" s="1" t="s">
        <v>1475</v>
      </c>
      <c r="D29" s="6" t="s">
        <v>790</v>
      </c>
      <c r="E29" s="6">
        <v>3</v>
      </c>
      <c r="F29" s="6" t="s">
        <v>1265</v>
      </c>
      <c r="G29" s="1" t="s">
        <v>843</v>
      </c>
      <c r="H29" s="6" t="s">
        <v>794</v>
      </c>
      <c r="I29" s="1" t="s">
        <v>8</v>
      </c>
      <c r="J29" s="6"/>
      <c r="L29" s="6" t="s">
        <v>5</v>
      </c>
      <c r="M29" s="6">
        <v>160</v>
      </c>
      <c r="N29" s="6"/>
      <c r="O29" s="6"/>
      <c r="T29" s="6" t="s">
        <v>1006</v>
      </c>
    </row>
    <row r="30" spans="1:20" ht="15.6">
      <c r="A30" s="6" t="s">
        <v>1483</v>
      </c>
      <c r="B30" s="1" t="s">
        <v>1484</v>
      </c>
      <c r="C30" s="1" t="s">
        <v>1475</v>
      </c>
      <c r="D30" s="6" t="s">
        <v>790</v>
      </c>
      <c r="E30" s="6">
        <v>1</v>
      </c>
      <c r="F30" s="1" t="s">
        <v>1274</v>
      </c>
      <c r="G30" s="1" t="s">
        <v>843</v>
      </c>
      <c r="H30" s="6" t="s">
        <v>794</v>
      </c>
      <c r="I30" s="1" t="s">
        <v>8</v>
      </c>
      <c r="J30" s="6"/>
      <c r="K30" s="6"/>
      <c r="L30" s="6" t="s">
        <v>5</v>
      </c>
      <c r="M30" s="6">
        <v>194</v>
      </c>
      <c r="N30" s="6"/>
      <c r="O30" s="6"/>
      <c r="T30" s="6" t="s">
        <v>711</v>
      </c>
    </row>
    <row r="31" spans="1:20" ht="15.6">
      <c r="A31" s="6" t="s">
        <v>605</v>
      </c>
      <c r="B31" s="1" t="s">
        <v>269</v>
      </c>
      <c r="C31" s="1" t="s">
        <v>1475</v>
      </c>
      <c r="D31" s="6" t="s">
        <v>795</v>
      </c>
      <c r="E31" s="6">
        <v>36</v>
      </c>
      <c r="F31" s="6" t="s">
        <v>1265</v>
      </c>
      <c r="G31" s="1" t="s">
        <v>843</v>
      </c>
      <c r="H31" s="6" t="s">
        <v>826</v>
      </c>
      <c r="I31" s="1" t="s">
        <v>8</v>
      </c>
      <c r="J31" s="6"/>
      <c r="K31" s="6"/>
      <c r="L31" s="6" t="s">
        <v>5</v>
      </c>
      <c r="M31" s="6">
        <v>1578</v>
      </c>
      <c r="N31" s="6"/>
      <c r="O31" s="6"/>
      <c r="P31" s="6"/>
      <c r="Q31" s="6"/>
      <c r="R31" s="6"/>
      <c r="S31" s="12"/>
      <c r="T31" s="1" t="s">
        <v>519</v>
      </c>
    </row>
    <row r="32" spans="1:20" ht="15.6">
      <c r="A32" s="6" t="s">
        <v>797</v>
      </c>
      <c r="B32" s="6" t="s">
        <v>798</v>
      </c>
      <c r="C32" s="6" t="s">
        <v>1574</v>
      </c>
      <c r="D32" s="6" t="s">
        <v>818</v>
      </c>
      <c r="E32" s="6">
        <v>1</v>
      </c>
      <c r="F32" s="1" t="s">
        <v>1274</v>
      </c>
      <c r="G32" s="1" t="s">
        <v>843</v>
      </c>
      <c r="H32" s="6" t="s">
        <v>830</v>
      </c>
      <c r="I32" s="1" t="s">
        <v>8</v>
      </c>
      <c r="J32" s="6"/>
      <c r="K32" s="6"/>
      <c r="L32" s="6" t="s">
        <v>5</v>
      </c>
      <c r="M32" s="6">
        <v>238</v>
      </c>
      <c r="N32" s="6"/>
      <c r="O32" s="6"/>
      <c r="P32" s="6"/>
      <c r="Q32" s="6"/>
      <c r="R32" s="6"/>
      <c r="S32" s="12"/>
      <c r="T32" s="1" t="s">
        <v>519</v>
      </c>
    </row>
    <row r="33" spans="1:20" ht="15.6">
      <c r="A33" s="6" t="s">
        <v>808</v>
      </c>
      <c r="B33" s="1" t="s">
        <v>269</v>
      </c>
      <c r="C33" s="1" t="s">
        <v>1482</v>
      </c>
      <c r="D33" s="6" t="s">
        <v>790</v>
      </c>
      <c r="E33" s="6">
        <v>12</v>
      </c>
      <c r="F33" s="6" t="s">
        <v>1265</v>
      </c>
      <c r="G33" s="1" t="s">
        <v>843</v>
      </c>
      <c r="H33" s="6" t="s">
        <v>820</v>
      </c>
      <c r="I33" s="1" t="s">
        <v>8</v>
      </c>
      <c r="J33" s="6"/>
      <c r="K33" s="6"/>
      <c r="L33" s="6" t="s">
        <v>5</v>
      </c>
      <c r="M33" s="6">
        <v>144</v>
      </c>
      <c r="N33" s="6"/>
      <c r="O33" s="6"/>
      <c r="P33" s="6"/>
      <c r="Q33" s="6"/>
      <c r="R33" s="6"/>
      <c r="S33" s="12"/>
      <c r="T33" s="1" t="s">
        <v>519</v>
      </c>
    </row>
    <row r="34" spans="1:20" ht="15.6">
      <c r="A34" s="6" t="s">
        <v>1529</v>
      </c>
      <c r="B34" s="1" t="s">
        <v>269</v>
      </c>
      <c r="C34" s="1" t="s">
        <v>1482</v>
      </c>
      <c r="D34" s="6" t="s">
        <v>795</v>
      </c>
      <c r="E34" s="6">
        <v>1</v>
      </c>
      <c r="F34" s="1" t="s">
        <v>1263</v>
      </c>
      <c r="G34" s="1" t="s">
        <v>843</v>
      </c>
      <c r="H34" s="6" t="s">
        <v>820</v>
      </c>
      <c r="I34" s="1" t="s">
        <v>8</v>
      </c>
      <c r="J34" s="6"/>
      <c r="K34" s="6"/>
      <c r="L34" s="6" t="s">
        <v>5</v>
      </c>
      <c r="M34" s="6">
        <v>33</v>
      </c>
      <c r="N34" s="6"/>
      <c r="O34" s="6"/>
      <c r="P34" s="6"/>
      <c r="Q34" s="6"/>
      <c r="R34" s="6"/>
      <c r="S34" s="12"/>
      <c r="T34" s="6" t="s">
        <v>711</v>
      </c>
    </row>
    <row r="35" spans="1:20" ht="15.6">
      <c r="A35" s="6" t="s">
        <v>1530</v>
      </c>
      <c r="B35" s="1" t="s">
        <v>269</v>
      </c>
      <c r="C35" s="1" t="s">
        <v>1482</v>
      </c>
      <c r="D35" s="6" t="s">
        <v>795</v>
      </c>
      <c r="E35" s="6">
        <v>1</v>
      </c>
      <c r="F35" s="1" t="s">
        <v>1263</v>
      </c>
      <c r="G35" s="1" t="s">
        <v>843</v>
      </c>
      <c r="H35" s="6" t="s">
        <v>820</v>
      </c>
      <c r="I35" s="1" t="s">
        <v>8</v>
      </c>
      <c r="J35" s="6"/>
      <c r="K35" s="6"/>
      <c r="L35" s="6" t="s">
        <v>5</v>
      </c>
      <c r="M35" s="6">
        <v>33</v>
      </c>
      <c r="N35" s="6"/>
      <c r="O35" s="6"/>
      <c r="P35" s="6"/>
      <c r="Q35" s="6"/>
      <c r="R35" s="6"/>
      <c r="S35" s="12"/>
      <c r="T35" s="6" t="s">
        <v>711</v>
      </c>
    </row>
    <row r="36" spans="1:20" ht="15.6">
      <c r="A36" s="6" t="s">
        <v>1531</v>
      </c>
      <c r="B36" s="1" t="s">
        <v>269</v>
      </c>
      <c r="C36" s="1" t="s">
        <v>1482</v>
      </c>
      <c r="D36" s="6" t="s">
        <v>795</v>
      </c>
      <c r="E36" s="6">
        <v>1</v>
      </c>
      <c r="F36" s="1" t="s">
        <v>1263</v>
      </c>
      <c r="G36" s="1" t="s">
        <v>843</v>
      </c>
      <c r="H36" s="6" t="s">
        <v>820</v>
      </c>
      <c r="I36" s="1" t="s">
        <v>8</v>
      </c>
      <c r="J36" s="6"/>
      <c r="K36" s="6"/>
      <c r="L36" s="6" t="s">
        <v>5</v>
      </c>
      <c r="M36" s="6">
        <v>51</v>
      </c>
      <c r="N36" s="6"/>
      <c r="O36" s="6"/>
      <c r="P36" s="6"/>
      <c r="Q36" s="6"/>
      <c r="R36" s="6"/>
      <c r="S36" s="12"/>
      <c r="T36" s="6" t="s">
        <v>711</v>
      </c>
    </row>
    <row r="37" spans="1:20" ht="15.6">
      <c r="A37" s="6" t="s">
        <v>1532</v>
      </c>
      <c r="B37" s="1" t="s">
        <v>269</v>
      </c>
      <c r="C37" s="1" t="s">
        <v>1482</v>
      </c>
      <c r="D37" s="6" t="s">
        <v>795</v>
      </c>
      <c r="E37" s="6">
        <v>1</v>
      </c>
      <c r="F37" s="1" t="s">
        <v>1263</v>
      </c>
      <c r="G37" s="1" t="s">
        <v>843</v>
      </c>
      <c r="H37" s="6" t="s">
        <v>820</v>
      </c>
      <c r="I37" s="1" t="s">
        <v>8</v>
      </c>
      <c r="J37" s="6"/>
      <c r="K37" s="6"/>
      <c r="L37" s="6" t="s">
        <v>5</v>
      </c>
      <c r="M37" s="6">
        <v>52</v>
      </c>
      <c r="N37" s="6"/>
      <c r="O37" s="6"/>
      <c r="P37" s="6"/>
      <c r="Q37" s="6"/>
      <c r="R37" s="6"/>
      <c r="S37" s="12"/>
      <c r="T37" s="6" t="s">
        <v>711</v>
      </c>
    </row>
    <row r="38" spans="1:20" ht="15.6">
      <c r="A38" s="6" t="s">
        <v>1533</v>
      </c>
      <c r="B38" s="1" t="s">
        <v>269</v>
      </c>
      <c r="C38" s="1" t="s">
        <v>1482</v>
      </c>
      <c r="D38" s="6" t="s">
        <v>795</v>
      </c>
      <c r="E38" s="6">
        <v>1</v>
      </c>
      <c r="F38" s="1" t="s">
        <v>1263</v>
      </c>
      <c r="G38" s="1" t="s">
        <v>843</v>
      </c>
      <c r="H38" s="6" t="s">
        <v>820</v>
      </c>
      <c r="I38" s="1" t="s">
        <v>8</v>
      </c>
      <c r="J38" s="6"/>
      <c r="K38" s="6"/>
      <c r="L38" s="6" t="s">
        <v>5</v>
      </c>
      <c r="M38" s="6">
        <v>32</v>
      </c>
      <c r="N38" s="6"/>
      <c r="O38" s="6"/>
      <c r="P38" s="6"/>
      <c r="Q38" s="6"/>
      <c r="R38" s="6"/>
      <c r="S38" s="12"/>
      <c r="T38" s="6" t="s">
        <v>711</v>
      </c>
    </row>
    <row r="39" spans="1:20" ht="15.6">
      <c r="A39" s="6" t="s">
        <v>1534</v>
      </c>
      <c r="B39" s="1" t="s">
        <v>269</v>
      </c>
      <c r="C39" s="1" t="s">
        <v>1482</v>
      </c>
      <c r="D39" s="6" t="s">
        <v>795</v>
      </c>
      <c r="E39" s="6">
        <v>1</v>
      </c>
      <c r="F39" s="1" t="s">
        <v>1263</v>
      </c>
      <c r="G39" s="1" t="s">
        <v>843</v>
      </c>
      <c r="H39" s="6" t="s">
        <v>820</v>
      </c>
      <c r="I39" s="1" t="s">
        <v>8</v>
      </c>
      <c r="J39" s="6"/>
      <c r="K39" s="6"/>
      <c r="L39" s="6" t="s">
        <v>5</v>
      </c>
      <c r="M39" s="6"/>
      <c r="N39" s="6"/>
      <c r="O39" s="6"/>
      <c r="P39" s="6"/>
      <c r="Q39" s="6"/>
      <c r="R39" s="6"/>
      <c r="S39" s="12"/>
      <c r="T39" s="6" t="s">
        <v>711</v>
      </c>
    </row>
    <row r="40" spans="1:20" ht="15.6">
      <c r="A40" s="6" t="s">
        <v>809</v>
      </c>
      <c r="B40" s="1" t="s">
        <v>269</v>
      </c>
      <c r="C40" s="1" t="s">
        <v>1477</v>
      </c>
      <c r="D40" s="6" t="s">
        <v>790</v>
      </c>
      <c r="E40" s="6">
        <v>37</v>
      </c>
      <c r="F40" s="6" t="s">
        <v>1265</v>
      </c>
      <c r="G40" s="1" t="s">
        <v>843</v>
      </c>
      <c r="H40" s="6" t="s">
        <v>822</v>
      </c>
      <c r="I40" s="1" t="s">
        <v>8</v>
      </c>
      <c r="J40" s="6"/>
      <c r="K40" s="6"/>
      <c r="L40" s="6" t="s">
        <v>5</v>
      </c>
      <c r="M40" s="6">
        <v>963</v>
      </c>
      <c r="N40" s="6"/>
      <c r="O40" s="6"/>
      <c r="P40" s="6"/>
      <c r="Q40" s="6"/>
      <c r="R40" s="6"/>
      <c r="S40" s="12"/>
      <c r="T40" s="6" t="s">
        <v>706</v>
      </c>
    </row>
    <row r="41" spans="1:20" ht="15.6">
      <c r="A41" s="6" t="s">
        <v>1557</v>
      </c>
      <c r="B41" s="1" t="s">
        <v>269</v>
      </c>
      <c r="C41" s="1" t="s">
        <v>1477</v>
      </c>
      <c r="D41" s="6" t="s">
        <v>790</v>
      </c>
      <c r="E41" s="6">
        <v>1</v>
      </c>
      <c r="F41" s="1" t="s">
        <v>1274</v>
      </c>
      <c r="G41" s="1" t="s">
        <v>843</v>
      </c>
      <c r="H41" s="6" t="s">
        <v>822</v>
      </c>
      <c r="I41" s="1" t="s">
        <v>8</v>
      </c>
      <c r="J41" s="6"/>
      <c r="L41" s="6" t="s">
        <v>319</v>
      </c>
      <c r="M41" s="6">
        <v>25</v>
      </c>
      <c r="N41" s="6"/>
      <c r="O41" s="6"/>
      <c r="T41" s="6" t="s">
        <v>711</v>
      </c>
    </row>
    <row r="42" spans="1:20" ht="15.6">
      <c r="A42" s="6" t="s">
        <v>1182</v>
      </c>
      <c r="B42" s="1" t="s">
        <v>269</v>
      </c>
      <c r="C42" s="1" t="s">
        <v>1477</v>
      </c>
      <c r="D42" s="6" t="s">
        <v>790</v>
      </c>
      <c r="E42" s="6">
        <v>9</v>
      </c>
      <c r="F42" s="6" t="s">
        <v>1265</v>
      </c>
      <c r="G42" s="1" t="s">
        <v>843</v>
      </c>
      <c r="H42" s="1" t="s">
        <v>821</v>
      </c>
      <c r="I42" s="1" t="s">
        <v>8</v>
      </c>
      <c r="J42" s="6"/>
      <c r="L42" s="6" t="s">
        <v>5</v>
      </c>
      <c r="M42" s="6">
        <v>265</v>
      </c>
      <c r="N42" s="6"/>
      <c r="O42" s="6"/>
      <c r="T42" s="6" t="s">
        <v>711</v>
      </c>
    </row>
    <row r="43" spans="1:20" ht="15.6">
      <c r="A43" s="6" t="s">
        <v>824</v>
      </c>
      <c r="B43" s="1" t="s">
        <v>269</v>
      </c>
      <c r="C43" s="1" t="s">
        <v>1593</v>
      </c>
      <c r="D43" s="6" t="s">
        <v>818</v>
      </c>
      <c r="E43" s="6">
        <v>17</v>
      </c>
      <c r="F43" s="6" t="s">
        <v>1265</v>
      </c>
      <c r="G43" s="1" t="s">
        <v>843</v>
      </c>
      <c r="H43" s="6" t="s">
        <v>819</v>
      </c>
      <c r="I43" s="1" t="s">
        <v>8</v>
      </c>
      <c r="J43" s="6"/>
      <c r="K43" s="6"/>
      <c r="L43" s="6" t="s">
        <v>5</v>
      </c>
      <c r="M43" s="6">
        <v>126</v>
      </c>
      <c r="N43" s="6"/>
      <c r="O43" s="6"/>
      <c r="P43" s="6"/>
      <c r="Q43" s="6"/>
      <c r="R43" s="6"/>
      <c r="S43" s="12"/>
      <c r="T43" s="1" t="s">
        <v>519</v>
      </c>
    </row>
    <row r="44" spans="1:20" ht="15.6">
      <c r="A44" s="6" t="s">
        <v>810</v>
      </c>
      <c r="B44" s="1" t="s">
        <v>799</v>
      </c>
      <c r="C44" s="1"/>
      <c r="D44" s="6"/>
      <c r="E44" s="6">
        <v>1</v>
      </c>
      <c r="F44" s="6" t="s">
        <v>1265</v>
      </c>
      <c r="G44" s="1" t="s">
        <v>843</v>
      </c>
      <c r="H44" s="1" t="s">
        <v>815</v>
      </c>
      <c r="I44" s="1" t="s">
        <v>8</v>
      </c>
      <c r="J44" s="6"/>
      <c r="K44" s="6"/>
      <c r="L44" s="6" t="s">
        <v>5</v>
      </c>
      <c r="M44" s="6">
        <v>17</v>
      </c>
      <c r="N44" s="6"/>
      <c r="O44" s="6"/>
      <c r="P44" s="6"/>
      <c r="Q44" s="6"/>
      <c r="R44" s="6"/>
      <c r="S44" s="12"/>
      <c r="T44" s="1" t="s">
        <v>519</v>
      </c>
    </row>
    <row r="45" spans="1:20" ht="15.6">
      <c r="A45" s="6" t="s">
        <v>817</v>
      </c>
      <c r="B45" s="1" t="s">
        <v>269</v>
      </c>
      <c r="C45" s="1"/>
      <c r="E45" s="6">
        <v>2</v>
      </c>
      <c r="F45" s="6" t="s">
        <v>1265</v>
      </c>
      <c r="G45" s="1" t="s">
        <v>843</v>
      </c>
      <c r="H45" s="1" t="s">
        <v>815</v>
      </c>
      <c r="I45" s="1" t="s">
        <v>8</v>
      </c>
      <c r="J45" s="6"/>
      <c r="L45" s="6" t="s">
        <v>5</v>
      </c>
      <c r="M45" s="6">
        <v>18</v>
      </c>
      <c r="N45" s="6"/>
      <c r="O45" s="6"/>
      <c r="T45" s="1" t="s">
        <v>519</v>
      </c>
    </row>
    <row r="46" spans="1:20" ht="15.6">
      <c r="A46" s="6" t="s">
        <v>831</v>
      </c>
      <c r="B46" s="1" t="s">
        <v>269</v>
      </c>
      <c r="C46" s="1" t="s">
        <v>1475</v>
      </c>
      <c r="D46" s="6" t="s">
        <v>790</v>
      </c>
      <c r="E46" s="6">
        <v>8</v>
      </c>
      <c r="F46" s="6" t="s">
        <v>1264</v>
      </c>
      <c r="G46" s="1" t="s">
        <v>843</v>
      </c>
      <c r="H46" s="1" t="s">
        <v>815</v>
      </c>
      <c r="I46" s="1" t="s">
        <v>8</v>
      </c>
      <c r="J46" s="6"/>
      <c r="L46" s="6" t="s">
        <v>5</v>
      </c>
      <c r="M46" s="6">
        <v>130</v>
      </c>
      <c r="N46" s="6"/>
      <c r="O46" s="6"/>
      <c r="T46" s="1" t="s">
        <v>519</v>
      </c>
    </row>
    <row r="47" spans="1:20" ht="15.6">
      <c r="A47" s="6" t="s">
        <v>812</v>
      </c>
      <c r="B47" s="1" t="s">
        <v>269</v>
      </c>
      <c r="C47" s="1"/>
      <c r="E47" s="6">
        <v>2</v>
      </c>
      <c r="F47" s="6" t="s">
        <v>1265</v>
      </c>
      <c r="G47" s="1" t="s">
        <v>843</v>
      </c>
      <c r="H47" s="1" t="s">
        <v>815</v>
      </c>
      <c r="I47" s="1" t="s">
        <v>8</v>
      </c>
      <c r="J47" s="6"/>
      <c r="L47" s="6" t="s">
        <v>5</v>
      </c>
      <c r="M47" s="6">
        <v>22</v>
      </c>
      <c r="N47" s="6"/>
      <c r="O47" s="6"/>
      <c r="T47" s="1" t="s">
        <v>519</v>
      </c>
    </row>
    <row r="48" spans="1:20" ht="15.6">
      <c r="A48" s="6" t="s">
        <v>811</v>
      </c>
      <c r="B48" s="1" t="s">
        <v>269</v>
      </c>
      <c r="C48" s="1" t="s">
        <v>1474</v>
      </c>
      <c r="D48" s="1" t="s">
        <v>786</v>
      </c>
      <c r="E48" s="6">
        <v>10</v>
      </c>
      <c r="F48" s="1" t="s">
        <v>1263</v>
      </c>
      <c r="G48" s="1" t="s">
        <v>843</v>
      </c>
      <c r="H48" s="6" t="s">
        <v>823</v>
      </c>
      <c r="I48" s="1" t="s">
        <v>8</v>
      </c>
      <c r="J48" s="6"/>
      <c r="L48" s="6" t="s">
        <v>5</v>
      </c>
      <c r="M48" s="6">
        <v>713</v>
      </c>
      <c r="N48" s="6"/>
      <c r="O48" s="6"/>
      <c r="T48" s="6" t="s">
        <v>706</v>
      </c>
    </row>
    <row r="49" spans="1:20" ht="15.6">
      <c r="A49" s="6" t="s">
        <v>1229</v>
      </c>
      <c r="B49" s="1" t="s">
        <v>269</v>
      </c>
      <c r="C49" s="1" t="s">
        <v>1589</v>
      </c>
      <c r="D49" s="6" t="s">
        <v>818</v>
      </c>
      <c r="E49" s="6">
        <v>4</v>
      </c>
      <c r="F49" s="6" t="s">
        <v>1265</v>
      </c>
      <c r="G49" s="1" t="s">
        <v>843</v>
      </c>
      <c r="H49" s="6" t="s">
        <v>1034</v>
      </c>
      <c r="I49" s="1" t="s">
        <v>8</v>
      </c>
      <c r="J49" s="6"/>
      <c r="L49" s="6" t="s">
        <v>5</v>
      </c>
      <c r="M49" s="6">
        <v>48</v>
      </c>
      <c r="N49" s="6"/>
      <c r="O49" s="6"/>
      <c r="T49" s="6" t="s">
        <v>706</v>
      </c>
    </row>
    <row r="50" spans="1:20" ht="15.6">
      <c r="A50" s="6" t="s">
        <v>1230</v>
      </c>
      <c r="B50" s="1" t="s">
        <v>269</v>
      </c>
      <c r="C50" s="1" t="s">
        <v>1589</v>
      </c>
      <c r="D50" s="6" t="s">
        <v>818</v>
      </c>
      <c r="E50" s="6">
        <v>4</v>
      </c>
      <c r="F50" s="6" t="s">
        <v>1265</v>
      </c>
      <c r="G50" s="1" t="s">
        <v>843</v>
      </c>
      <c r="H50" s="6" t="s">
        <v>1034</v>
      </c>
      <c r="I50" s="1" t="s">
        <v>8</v>
      </c>
      <c r="J50" s="6"/>
      <c r="L50" s="6" t="s">
        <v>5</v>
      </c>
      <c r="M50" s="6">
        <v>31</v>
      </c>
      <c r="N50" s="6"/>
      <c r="O50" s="6"/>
      <c r="T50" s="6" t="s">
        <v>706</v>
      </c>
    </row>
    <row r="51" spans="1:20" ht="15.6">
      <c r="A51" s="6" t="s">
        <v>836</v>
      </c>
      <c r="B51" s="1" t="s">
        <v>269</v>
      </c>
      <c r="C51" s="1" t="s">
        <v>1475</v>
      </c>
      <c r="D51" s="6" t="s">
        <v>790</v>
      </c>
      <c r="E51" s="6">
        <v>13</v>
      </c>
      <c r="F51" s="6" t="s">
        <v>1264</v>
      </c>
      <c r="G51" s="1" t="s">
        <v>843</v>
      </c>
      <c r="H51" s="1" t="s">
        <v>845</v>
      </c>
      <c r="I51" s="1" t="s">
        <v>8</v>
      </c>
      <c r="J51" s="6"/>
      <c r="L51" s="6" t="s">
        <v>5</v>
      </c>
      <c r="M51" s="6">
        <v>264</v>
      </c>
      <c r="N51" s="6"/>
      <c r="O51" s="6"/>
      <c r="T51" s="1" t="s">
        <v>837</v>
      </c>
    </row>
    <row r="52" spans="1:20" ht="15.6">
      <c r="A52" s="6" t="s">
        <v>838</v>
      </c>
      <c r="B52" s="1" t="s">
        <v>269</v>
      </c>
      <c r="C52" s="1" t="s">
        <v>1474</v>
      </c>
      <c r="D52" s="6" t="s">
        <v>1011</v>
      </c>
      <c r="E52" s="6">
        <v>17</v>
      </c>
      <c r="F52" s="6" t="s">
        <v>1265</v>
      </c>
      <c r="G52" s="1" t="s">
        <v>843</v>
      </c>
      <c r="H52" s="1" t="s">
        <v>839</v>
      </c>
      <c r="I52" s="1" t="s">
        <v>8</v>
      </c>
      <c r="J52" s="6"/>
      <c r="L52" s="6" t="s">
        <v>5</v>
      </c>
      <c r="M52" s="6">
        <v>583</v>
      </c>
      <c r="N52" s="6"/>
      <c r="O52" s="6"/>
      <c r="T52" s="1" t="s">
        <v>840</v>
      </c>
    </row>
    <row r="53" spans="1:20" ht="15.6">
      <c r="A53" s="6" t="s">
        <v>1026</v>
      </c>
      <c r="B53" s="1" t="s">
        <v>269</v>
      </c>
      <c r="C53" s="1" t="s">
        <v>1588</v>
      </c>
      <c r="D53" s="6" t="s">
        <v>818</v>
      </c>
      <c r="E53" s="6">
        <v>3</v>
      </c>
      <c r="F53" s="6" t="s">
        <v>1265</v>
      </c>
      <c r="G53" s="1" t="s">
        <v>843</v>
      </c>
      <c r="H53" s="1" t="s">
        <v>839</v>
      </c>
      <c r="I53" s="1" t="s">
        <v>8</v>
      </c>
      <c r="J53" s="6"/>
      <c r="L53" s="6" t="s">
        <v>5</v>
      </c>
      <c r="M53" s="6">
        <v>34</v>
      </c>
      <c r="N53" s="6"/>
      <c r="O53" s="6"/>
      <c r="T53" s="1" t="s">
        <v>706</v>
      </c>
    </row>
    <row r="54" spans="1:20" ht="15.6">
      <c r="A54" s="6" t="s">
        <v>1035</v>
      </c>
      <c r="B54" s="1" t="s">
        <v>269</v>
      </c>
      <c r="C54" s="1" t="s">
        <v>1474</v>
      </c>
      <c r="D54" s="6" t="s">
        <v>1011</v>
      </c>
      <c r="E54" s="6">
        <v>5</v>
      </c>
      <c r="F54" s="1" t="s">
        <v>1263</v>
      </c>
      <c r="G54" s="1" t="s">
        <v>843</v>
      </c>
      <c r="H54" s="1" t="s">
        <v>839</v>
      </c>
      <c r="I54" s="1" t="s">
        <v>343</v>
      </c>
      <c r="J54" s="6"/>
      <c r="K54" s="1" t="s">
        <v>1345</v>
      </c>
      <c r="L54" s="6" t="s">
        <v>5</v>
      </c>
      <c r="M54" s="6">
        <v>311</v>
      </c>
      <c r="N54" s="6"/>
      <c r="O54" s="6"/>
      <c r="T54" s="1" t="s">
        <v>706</v>
      </c>
    </row>
    <row r="55" spans="1:20" ht="15.6">
      <c r="A55" s="6" t="s">
        <v>1059</v>
      </c>
      <c r="B55" s="1" t="s">
        <v>269</v>
      </c>
      <c r="C55" s="1" t="s">
        <v>1474</v>
      </c>
      <c r="D55" s="6" t="s">
        <v>1011</v>
      </c>
      <c r="E55" s="6">
        <v>8</v>
      </c>
      <c r="F55" s="1" t="s">
        <v>1263</v>
      </c>
      <c r="G55" s="1" t="s">
        <v>843</v>
      </c>
      <c r="H55" s="1" t="s">
        <v>839</v>
      </c>
      <c r="I55" s="1" t="s">
        <v>8</v>
      </c>
      <c r="J55" s="6"/>
      <c r="K55" s="1" t="s">
        <v>1345</v>
      </c>
      <c r="L55" s="6" t="s">
        <v>5</v>
      </c>
      <c r="M55" s="6">
        <v>388</v>
      </c>
      <c r="N55" s="6"/>
      <c r="O55" s="6"/>
      <c r="T55" s="1" t="s">
        <v>711</v>
      </c>
    </row>
    <row r="56" spans="1:20" ht="15.6">
      <c r="A56" s="6" t="s">
        <v>1269</v>
      </c>
      <c r="B56" s="1" t="s">
        <v>269</v>
      </c>
      <c r="C56" s="1" t="s">
        <v>1474</v>
      </c>
      <c r="D56" s="6" t="s">
        <v>1011</v>
      </c>
      <c r="E56" s="6">
        <v>6</v>
      </c>
      <c r="F56" s="1" t="s">
        <v>1263</v>
      </c>
      <c r="G56" s="1" t="s">
        <v>843</v>
      </c>
      <c r="H56" s="1" t="s">
        <v>839</v>
      </c>
      <c r="I56" s="1" t="s">
        <v>8</v>
      </c>
      <c r="J56" s="6"/>
      <c r="K56" s="1" t="s">
        <v>1345</v>
      </c>
      <c r="L56" s="6" t="s">
        <v>5</v>
      </c>
      <c r="M56" s="6">
        <v>158</v>
      </c>
      <c r="N56" s="6"/>
      <c r="O56" s="6"/>
      <c r="T56" s="1" t="s">
        <v>519</v>
      </c>
    </row>
    <row r="57" spans="1:20" ht="15.6">
      <c r="A57" s="6" t="s">
        <v>1352</v>
      </c>
      <c r="B57" s="1" t="s">
        <v>269</v>
      </c>
      <c r="C57" s="1" t="s">
        <v>1474</v>
      </c>
      <c r="D57" s="6" t="s">
        <v>1011</v>
      </c>
      <c r="E57" s="6">
        <v>9</v>
      </c>
      <c r="F57" s="6" t="s">
        <v>1265</v>
      </c>
      <c r="G57" s="1" t="s">
        <v>843</v>
      </c>
      <c r="H57" s="1" t="s">
        <v>839</v>
      </c>
      <c r="I57" s="1" t="s">
        <v>8</v>
      </c>
      <c r="J57" s="6"/>
      <c r="K57" s="1" t="s">
        <v>1345</v>
      </c>
      <c r="L57" s="6" t="s">
        <v>5</v>
      </c>
      <c r="M57" s="6">
        <v>436</v>
      </c>
      <c r="N57" s="6"/>
      <c r="O57" s="6"/>
      <c r="T57" s="1" t="s">
        <v>519</v>
      </c>
    </row>
    <row r="58" spans="1:20" ht="15.6">
      <c r="A58" s="6" t="s">
        <v>847</v>
      </c>
      <c r="B58" s="1" t="s">
        <v>269</v>
      </c>
      <c r="C58" s="1" t="s">
        <v>1579</v>
      </c>
      <c r="D58" s="6" t="s">
        <v>790</v>
      </c>
      <c r="E58" s="6">
        <v>12</v>
      </c>
      <c r="F58" s="6" t="s">
        <v>1265</v>
      </c>
      <c r="G58" s="1" t="s">
        <v>843</v>
      </c>
      <c r="H58" s="1" t="s">
        <v>846</v>
      </c>
      <c r="I58" s="1" t="s">
        <v>8</v>
      </c>
      <c r="J58" s="6"/>
      <c r="L58" s="6" t="s">
        <v>5</v>
      </c>
      <c r="M58" s="6">
        <v>574</v>
      </c>
      <c r="N58" s="6"/>
      <c r="O58" s="6"/>
      <c r="T58" s="6" t="s">
        <v>706</v>
      </c>
    </row>
    <row r="59" spans="1:20" ht="15.6">
      <c r="A59" s="6" t="s">
        <v>1525</v>
      </c>
      <c r="B59" s="1" t="s">
        <v>269</v>
      </c>
      <c r="C59" s="1" t="s">
        <v>1475</v>
      </c>
      <c r="D59" s="6" t="s">
        <v>790</v>
      </c>
      <c r="E59" s="6">
        <v>1</v>
      </c>
      <c r="F59" s="1" t="s">
        <v>1263</v>
      </c>
      <c r="G59" s="1" t="s">
        <v>843</v>
      </c>
      <c r="H59" s="1" t="s">
        <v>846</v>
      </c>
      <c r="I59" s="1" t="s">
        <v>8</v>
      </c>
      <c r="J59" s="6"/>
      <c r="L59" s="6" t="s">
        <v>5</v>
      </c>
      <c r="M59" s="6">
        <v>15</v>
      </c>
      <c r="N59" s="6"/>
      <c r="O59" s="6"/>
      <c r="T59" s="1" t="s">
        <v>711</v>
      </c>
    </row>
    <row r="60" spans="1:20" ht="15.6">
      <c r="A60" s="6" t="s">
        <v>1526</v>
      </c>
      <c r="B60" s="1" t="s">
        <v>269</v>
      </c>
      <c r="C60" s="1" t="s">
        <v>1475</v>
      </c>
      <c r="D60" s="6" t="s">
        <v>790</v>
      </c>
      <c r="E60" s="6">
        <v>1</v>
      </c>
      <c r="F60" s="1" t="s">
        <v>1263</v>
      </c>
      <c r="G60" s="1" t="s">
        <v>843</v>
      </c>
      <c r="H60" s="1" t="s">
        <v>846</v>
      </c>
      <c r="I60" s="1" t="s">
        <v>8</v>
      </c>
      <c r="J60" s="6"/>
      <c r="L60" s="6" t="s">
        <v>5</v>
      </c>
      <c r="M60" s="6">
        <v>15</v>
      </c>
      <c r="N60" s="6"/>
      <c r="O60" s="6"/>
      <c r="T60" s="1" t="s">
        <v>711</v>
      </c>
    </row>
    <row r="61" spans="1:20" ht="15.6">
      <c r="A61" s="6" t="s">
        <v>1294</v>
      </c>
      <c r="B61" s="1" t="s">
        <v>269</v>
      </c>
      <c r="C61" s="1" t="s">
        <v>1475</v>
      </c>
      <c r="D61" s="6" t="s">
        <v>795</v>
      </c>
      <c r="E61" s="6">
        <v>13</v>
      </c>
      <c r="F61" s="6" t="s">
        <v>1265</v>
      </c>
      <c r="G61" s="6" t="s">
        <v>844</v>
      </c>
      <c r="H61" s="1" t="s">
        <v>848</v>
      </c>
      <c r="I61" s="1" t="s">
        <v>8</v>
      </c>
      <c r="J61" s="6"/>
      <c r="L61" s="6" t="s">
        <v>5</v>
      </c>
      <c r="M61" s="6">
        <v>568</v>
      </c>
      <c r="N61" s="6"/>
      <c r="O61" s="6"/>
      <c r="T61" s="6"/>
    </row>
    <row r="62" spans="1:20" ht="15.6" hidden="1">
      <c r="A62" s="6" t="s">
        <v>1220</v>
      </c>
      <c r="B62" s="1" t="s">
        <v>269</v>
      </c>
      <c r="C62" s="1" t="s">
        <v>1475</v>
      </c>
      <c r="D62" s="6" t="s">
        <v>795</v>
      </c>
      <c r="E62" s="6">
        <v>5</v>
      </c>
      <c r="F62" s="6" t="s">
        <v>1265</v>
      </c>
      <c r="G62" s="6" t="s">
        <v>844</v>
      </c>
      <c r="H62" s="1" t="s">
        <v>848</v>
      </c>
      <c r="I62" s="1" t="s">
        <v>8</v>
      </c>
      <c r="J62" s="6"/>
      <c r="L62" s="6" t="s">
        <v>5</v>
      </c>
      <c r="M62" s="6"/>
      <c r="N62" s="6"/>
      <c r="O62" s="6"/>
      <c r="T62" s="6" t="s">
        <v>1302</v>
      </c>
    </row>
    <row r="63" spans="1:20" ht="15.6" hidden="1">
      <c r="A63" s="6" t="s">
        <v>1219</v>
      </c>
      <c r="B63" s="1" t="s">
        <v>269</v>
      </c>
      <c r="C63" s="1" t="s">
        <v>1475</v>
      </c>
      <c r="D63" s="6" t="s">
        <v>795</v>
      </c>
      <c r="E63" s="6">
        <v>1</v>
      </c>
      <c r="F63" s="6" t="s">
        <v>1265</v>
      </c>
      <c r="G63" s="6" t="s">
        <v>844</v>
      </c>
      <c r="H63" s="1" t="s">
        <v>848</v>
      </c>
      <c r="I63" s="1" t="s">
        <v>8</v>
      </c>
      <c r="J63" s="6"/>
      <c r="L63" s="6" t="s">
        <v>5</v>
      </c>
      <c r="M63" s="6"/>
      <c r="N63" s="6"/>
      <c r="O63" s="6"/>
      <c r="T63" s="6" t="s">
        <v>1295</v>
      </c>
    </row>
    <row r="64" spans="1:20" ht="15.6" hidden="1">
      <c r="A64" s="6" t="s">
        <v>1221</v>
      </c>
      <c r="B64" s="1" t="s">
        <v>269</v>
      </c>
      <c r="C64" s="1" t="s">
        <v>1475</v>
      </c>
      <c r="D64" s="6" t="s">
        <v>795</v>
      </c>
      <c r="E64" s="6">
        <v>1</v>
      </c>
      <c r="F64" s="6" t="s">
        <v>1265</v>
      </c>
      <c r="G64" s="6" t="s">
        <v>844</v>
      </c>
      <c r="H64" s="1" t="s">
        <v>848</v>
      </c>
      <c r="I64" s="1" t="s">
        <v>8</v>
      </c>
      <c r="J64" s="6"/>
      <c r="L64" s="6" t="s">
        <v>5</v>
      </c>
      <c r="M64" s="6"/>
      <c r="N64" s="6"/>
      <c r="O64" s="6"/>
      <c r="T64" s="1" t="s">
        <v>1296</v>
      </c>
    </row>
    <row r="65" spans="1:20" ht="15.6" hidden="1">
      <c r="A65" s="6" t="s">
        <v>1222</v>
      </c>
      <c r="B65" s="1" t="s">
        <v>269</v>
      </c>
      <c r="C65" s="1" t="s">
        <v>1475</v>
      </c>
      <c r="D65" s="6" t="s">
        <v>795</v>
      </c>
      <c r="E65" s="6">
        <v>1</v>
      </c>
      <c r="F65" s="6" t="s">
        <v>1265</v>
      </c>
      <c r="G65" s="6" t="s">
        <v>844</v>
      </c>
      <c r="H65" s="1" t="s">
        <v>848</v>
      </c>
      <c r="I65" s="1" t="s">
        <v>8</v>
      </c>
      <c r="J65" s="6"/>
      <c r="L65" s="6" t="s">
        <v>5</v>
      </c>
      <c r="M65" s="6"/>
      <c r="N65" s="6"/>
      <c r="O65" s="6"/>
      <c r="T65" s="6" t="s">
        <v>1297</v>
      </c>
    </row>
    <row r="66" spans="1:20" ht="15.6" hidden="1">
      <c r="A66" s="6" t="s">
        <v>1223</v>
      </c>
      <c r="B66" s="1" t="s">
        <v>269</v>
      </c>
      <c r="C66" s="1" t="s">
        <v>1475</v>
      </c>
      <c r="D66" s="6" t="s">
        <v>795</v>
      </c>
      <c r="E66" s="6">
        <v>1</v>
      </c>
      <c r="F66" s="6" t="s">
        <v>1265</v>
      </c>
      <c r="G66" s="6" t="s">
        <v>844</v>
      </c>
      <c r="H66" s="1" t="s">
        <v>848</v>
      </c>
      <c r="I66" s="1" t="s">
        <v>8</v>
      </c>
      <c r="J66" s="6"/>
      <c r="L66" s="6" t="s">
        <v>5</v>
      </c>
      <c r="M66" s="6"/>
      <c r="N66" s="6"/>
      <c r="O66" s="6"/>
      <c r="T66" s="6" t="s">
        <v>1297</v>
      </c>
    </row>
    <row r="67" spans="1:20" ht="15.6" hidden="1">
      <c r="A67" s="6" t="s">
        <v>1224</v>
      </c>
      <c r="B67" s="1" t="s">
        <v>269</v>
      </c>
      <c r="C67" s="1" t="s">
        <v>1475</v>
      </c>
      <c r="D67" s="6" t="s">
        <v>795</v>
      </c>
      <c r="E67" s="6">
        <v>1</v>
      </c>
      <c r="F67" s="6" t="s">
        <v>1265</v>
      </c>
      <c r="G67" s="6" t="s">
        <v>844</v>
      </c>
      <c r="H67" s="1" t="s">
        <v>848</v>
      </c>
      <c r="I67" s="1" t="s">
        <v>8</v>
      </c>
      <c r="J67" s="6"/>
      <c r="L67" s="6" t="s">
        <v>5</v>
      </c>
      <c r="M67" s="6"/>
      <c r="N67" s="6"/>
      <c r="O67" s="6"/>
      <c r="T67" s="1" t="s">
        <v>1298</v>
      </c>
    </row>
    <row r="68" spans="1:20" ht="15.6" hidden="1">
      <c r="A68" s="6" t="s">
        <v>1225</v>
      </c>
      <c r="B68" s="1" t="s">
        <v>269</v>
      </c>
      <c r="C68" s="1" t="s">
        <v>1475</v>
      </c>
      <c r="D68" s="6" t="s">
        <v>795</v>
      </c>
      <c r="E68" s="6">
        <v>1</v>
      </c>
      <c r="F68" s="6" t="s">
        <v>1265</v>
      </c>
      <c r="G68" s="6" t="s">
        <v>844</v>
      </c>
      <c r="H68" s="1" t="s">
        <v>848</v>
      </c>
      <c r="I68" s="1" t="s">
        <v>8</v>
      </c>
      <c r="J68" s="6"/>
      <c r="L68" s="6" t="s">
        <v>5</v>
      </c>
      <c r="M68" s="6"/>
      <c r="N68" s="6"/>
      <c r="O68" s="6"/>
      <c r="T68" s="1" t="s">
        <v>1299</v>
      </c>
    </row>
    <row r="69" spans="1:20" ht="15.6" hidden="1">
      <c r="A69" s="6" t="s">
        <v>1226</v>
      </c>
      <c r="B69" s="1" t="s">
        <v>269</v>
      </c>
      <c r="C69" s="1" t="s">
        <v>1475</v>
      </c>
      <c r="D69" s="6" t="s">
        <v>795</v>
      </c>
      <c r="E69" s="6">
        <v>1</v>
      </c>
      <c r="F69" s="6" t="s">
        <v>1265</v>
      </c>
      <c r="G69" s="6" t="s">
        <v>844</v>
      </c>
      <c r="H69" s="1" t="s">
        <v>848</v>
      </c>
      <c r="I69" s="1" t="s">
        <v>8</v>
      </c>
      <c r="J69" s="6"/>
      <c r="L69" s="6" t="s">
        <v>5</v>
      </c>
      <c r="M69" s="6"/>
      <c r="N69" s="6"/>
      <c r="O69" s="6"/>
      <c r="T69" s="1" t="s">
        <v>1300</v>
      </c>
    </row>
    <row r="70" spans="1:20" ht="15.6" hidden="1">
      <c r="A70" s="6" t="s">
        <v>1227</v>
      </c>
      <c r="B70" s="1" t="s">
        <v>269</v>
      </c>
      <c r="C70" s="1" t="s">
        <v>1475</v>
      </c>
      <c r="D70" s="6" t="s">
        <v>795</v>
      </c>
      <c r="E70" s="6">
        <v>1</v>
      </c>
      <c r="F70" s="6" t="s">
        <v>1265</v>
      </c>
      <c r="G70" s="6" t="s">
        <v>844</v>
      </c>
      <c r="H70" s="1" t="s">
        <v>848</v>
      </c>
      <c r="I70" s="1" t="s">
        <v>8</v>
      </c>
      <c r="J70" s="6"/>
      <c r="L70" s="6" t="s">
        <v>5</v>
      </c>
      <c r="M70" s="6"/>
      <c r="N70" s="6"/>
      <c r="O70" s="6"/>
      <c r="T70" s="6" t="s">
        <v>1301</v>
      </c>
    </row>
    <row r="71" spans="1:20" ht="15.6">
      <c r="A71" s="6" t="s">
        <v>1228</v>
      </c>
      <c r="B71" s="1" t="s">
        <v>269</v>
      </c>
      <c r="C71" s="1" t="s">
        <v>1475</v>
      </c>
      <c r="D71" s="6" t="s">
        <v>795</v>
      </c>
      <c r="E71" s="6">
        <v>1</v>
      </c>
      <c r="F71" s="6" t="s">
        <v>1265</v>
      </c>
      <c r="G71" s="6" t="s">
        <v>844</v>
      </c>
      <c r="H71" s="1" t="s">
        <v>848</v>
      </c>
      <c r="I71" s="1" t="s">
        <v>8</v>
      </c>
      <c r="J71" s="6"/>
      <c r="L71" s="6" t="s">
        <v>5</v>
      </c>
      <c r="M71" s="6">
        <v>128</v>
      </c>
      <c r="N71" s="6"/>
      <c r="O71" s="6"/>
      <c r="T71" s="1" t="s">
        <v>1006</v>
      </c>
    </row>
    <row r="72" spans="1:20" ht="15.6">
      <c r="A72" s="6" t="s">
        <v>849</v>
      </c>
      <c r="B72" s="1" t="s">
        <v>269</v>
      </c>
      <c r="C72" s="1" t="s">
        <v>1656</v>
      </c>
      <c r="D72" s="6" t="s">
        <v>818</v>
      </c>
      <c r="E72" s="6">
        <v>6</v>
      </c>
      <c r="F72" s="6" t="s">
        <v>1265</v>
      </c>
      <c r="G72" s="1" t="s">
        <v>843</v>
      </c>
      <c r="H72" s="1" t="s">
        <v>850</v>
      </c>
      <c r="I72" s="1" t="s">
        <v>8</v>
      </c>
      <c r="J72" s="6"/>
      <c r="L72" s="6" t="s">
        <v>5</v>
      </c>
      <c r="M72" s="6">
        <v>61</v>
      </c>
      <c r="N72" s="6"/>
      <c r="O72" s="6"/>
      <c r="T72" s="6" t="s">
        <v>706</v>
      </c>
    </row>
    <row r="73" spans="1:20" ht="15.6">
      <c r="A73" s="6" t="s">
        <v>851</v>
      </c>
      <c r="B73" s="1" t="s">
        <v>269</v>
      </c>
      <c r="C73" s="1" t="s">
        <v>1587</v>
      </c>
      <c r="D73" s="6" t="s">
        <v>818</v>
      </c>
      <c r="E73" s="6">
        <v>20</v>
      </c>
      <c r="F73" s="6" t="s">
        <v>1264</v>
      </c>
      <c r="G73" s="1" t="s">
        <v>843</v>
      </c>
      <c r="H73" s="1" t="s">
        <v>852</v>
      </c>
      <c r="I73" s="1" t="s">
        <v>8</v>
      </c>
      <c r="J73" s="6"/>
      <c r="L73" s="6" t="s">
        <v>5</v>
      </c>
      <c r="M73" s="6">
        <v>95</v>
      </c>
      <c r="N73" s="6"/>
      <c r="O73" s="6"/>
      <c r="T73" s="6" t="s">
        <v>706</v>
      </c>
    </row>
    <row r="74" spans="1:20" ht="15.6">
      <c r="A74" s="6" t="s">
        <v>853</v>
      </c>
      <c r="B74" s="1" t="s">
        <v>269</v>
      </c>
      <c r="C74" s="1" t="s">
        <v>1586</v>
      </c>
      <c r="D74" s="6" t="s">
        <v>818</v>
      </c>
      <c r="E74" s="6">
        <v>2</v>
      </c>
      <c r="F74" s="6" t="s">
        <v>1265</v>
      </c>
      <c r="G74" s="1" t="s">
        <v>843</v>
      </c>
      <c r="H74" s="1" t="s">
        <v>852</v>
      </c>
      <c r="I74" s="1" t="s">
        <v>8</v>
      </c>
      <c r="J74" s="6"/>
      <c r="L74" s="6" t="s">
        <v>5</v>
      </c>
      <c r="M74" s="6">
        <v>6</v>
      </c>
      <c r="N74" s="6"/>
      <c r="O74" s="6"/>
      <c r="T74" s="6" t="s">
        <v>706</v>
      </c>
    </row>
    <row r="75" spans="1:20" ht="15.6">
      <c r="A75" s="6" t="s">
        <v>1004</v>
      </c>
      <c r="B75" s="1" t="s">
        <v>269</v>
      </c>
      <c r="C75" s="1" t="s">
        <v>1475</v>
      </c>
      <c r="D75" s="6" t="s">
        <v>790</v>
      </c>
      <c r="E75" s="6">
        <v>9</v>
      </c>
      <c r="F75" s="6" t="s">
        <v>1265</v>
      </c>
      <c r="G75" s="1" t="s">
        <v>843</v>
      </c>
      <c r="H75" s="1" t="s">
        <v>1005</v>
      </c>
      <c r="I75" s="1" t="s">
        <v>8</v>
      </c>
      <c r="J75" s="6"/>
      <c r="L75" s="6" t="s">
        <v>5</v>
      </c>
      <c r="M75" s="6">
        <v>680</v>
      </c>
      <c r="N75" s="6"/>
      <c r="O75" s="6"/>
      <c r="T75" t="s">
        <v>1006</v>
      </c>
    </row>
    <row r="76" spans="1:20" ht="15.6">
      <c r="A76" s="6" t="s">
        <v>1004</v>
      </c>
      <c r="B76" s="1" t="s">
        <v>269</v>
      </c>
      <c r="C76" s="1" t="s">
        <v>1475</v>
      </c>
      <c r="D76" s="6" t="s">
        <v>790</v>
      </c>
      <c r="E76" s="6">
        <v>9</v>
      </c>
      <c r="F76" s="6" t="s">
        <v>1265</v>
      </c>
      <c r="G76" s="1" t="s">
        <v>843</v>
      </c>
      <c r="H76" s="1" t="s">
        <v>1005</v>
      </c>
      <c r="I76" s="1" t="s">
        <v>8</v>
      </c>
      <c r="J76" s="6"/>
      <c r="L76" s="6" t="s">
        <v>5</v>
      </c>
      <c r="M76" s="6">
        <v>564</v>
      </c>
      <c r="N76" s="6"/>
      <c r="O76" s="6"/>
      <c r="T76" s="6" t="s">
        <v>1270</v>
      </c>
    </row>
    <row r="77" spans="1:20" ht="15.6">
      <c r="A77" s="6" t="s">
        <v>1060</v>
      </c>
      <c r="B77" s="1" t="s">
        <v>269</v>
      </c>
      <c r="C77" s="1" t="s">
        <v>1475</v>
      </c>
      <c r="D77" s="6" t="s">
        <v>786</v>
      </c>
      <c r="E77" s="6">
        <v>12</v>
      </c>
      <c r="F77" s="1" t="s">
        <v>1263</v>
      </c>
      <c r="G77" s="1" t="s">
        <v>843</v>
      </c>
      <c r="H77" s="1" t="s">
        <v>1005</v>
      </c>
      <c r="I77" s="1" t="s">
        <v>8</v>
      </c>
      <c r="J77" s="6"/>
      <c r="L77" s="6" t="s">
        <v>5</v>
      </c>
      <c r="M77" s="6">
        <v>1007</v>
      </c>
      <c r="N77" s="6"/>
      <c r="O77" s="6"/>
      <c r="T77" s="6" t="s">
        <v>711</v>
      </c>
    </row>
    <row r="78" spans="1:20" ht="15.6">
      <c r="A78" s="6" t="s">
        <v>1060</v>
      </c>
      <c r="B78" s="1" t="s">
        <v>269</v>
      </c>
      <c r="C78" s="1" t="s">
        <v>1475</v>
      </c>
      <c r="D78" s="6" t="s">
        <v>786</v>
      </c>
      <c r="E78" s="6">
        <v>12</v>
      </c>
      <c r="F78" s="1" t="s">
        <v>1263</v>
      </c>
      <c r="G78" s="1" t="s">
        <v>843</v>
      </c>
      <c r="H78" s="1" t="s">
        <v>1005</v>
      </c>
      <c r="I78" s="1" t="s">
        <v>8</v>
      </c>
      <c r="J78" s="6"/>
      <c r="L78" s="6" t="s">
        <v>5</v>
      </c>
      <c r="M78" s="6">
        <v>737</v>
      </c>
      <c r="N78" s="6">
        <v>72</v>
      </c>
      <c r="O78" s="6">
        <v>666</v>
      </c>
      <c r="T78" s="6" t="s">
        <v>1751</v>
      </c>
    </row>
    <row r="79" spans="1:20" ht="15.6">
      <c r="A79" s="6" t="s">
        <v>1133</v>
      </c>
      <c r="B79" s="1" t="s">
        <v>269</v>
      </c>
      <c r="C79" s="1" t="s">
        <v>1477</v>
      </c>
      <c r="D79" s="6" t="s">
        <v>1273</v>
      </c>
      <c r="E79" s="6">
        <v>11</v>
      </c>
      <c r="F79" s="6" t="s">
        <v>1265</v>
      </c>
      <c r="G79" s="1" t="s">
        <v>843</v>
      </c>
      <c r="H79" s="1" t="s">
        <v>1013</v>
      </c>
      <c r="I79" s="1" t="s">
        <v>8</v>
      </c>
      <c r="J79" s="6"/>
      <c r="L79" s="6" t="s">
        <v>5</v>
      </c>
      <c r="M79" s="6">
        <v>1005</v>
      </c>
      <c r="N79" s="6"/>
      <c r="O79" s="6"/>
      <c r="T79" s="6" t="s">
        <v>1134</v>
      </c>
    </row>
    <row r="80" spans="1:20" ht="15.6">
      <c r="A80" s="6" t="s">
        <v>1351</v>
      </c>
      <c r="B80" s="1" t="s">
        <v>269</v>
      </c>
      <c r="C80" s="1" t="s">
        <v>1477</v>
      </c>
      <c r="D80" s="6" t="s">
        <v>790</v>
      </c>
      <c r="E80" s="6">
        <v>9</v>
      </c>
      <c r="F80" s="1" t="s">
        <v>1263</v>
      </c>
      <c r="G80" s="1" t="s">
        <v>843</v>
      </c>
      <c r="H80" s="1" t="s">
        <v>1024</v>
      </c>
      <c r="I80" s="1" t="s">
        <v>8</v>
      </c>
      <c r="J80" s="6"/>
      <c r="K80" s="1" t="s">
        <v>1345</v>
      </c>
      <c r="L80" s="6" t="s">
        <v>5</v>
      </c>
      <c r="M80" s="6">
        <v>411</v>
      </c>
      <c r="N80" s="6"/>
      <c r="O80" s="6"/>
      <c r="T80" s="1" t="s">
        <v>519</v>
      </c>
    </row>
    <row r="81" spans="1:20" ht="15.6">
      <c r="A81" s="6" t="s">
        <v>1707</v>
      </c>
      <c r="B81" s="1" t="s">
        <v>269</v>
      </c>
      <c r="C81" s="1" t="s">
        <v>1477</v>
      </c>
      <c r="D81" s="6" t="s">
        <v>790</v>
      </c>
      <c r="E81" s="6">
        <v>9</v>
      </c>
      <c r="F81" s="1" t="s">
        <v>1263</v>
      </c>
      <c r="G81" s="1" t="s">
        <v>843</v>
      </c>
      <c r="H81" s="1" t="s">
        <v>1024</v>
      </c>
      <c r="I81" s="1" t="s">
        <v>8</v>
      </c>
      <c r="J81" s="6"/>
      <c r="K81" s="1" t="s">
        <v>1345</v>
      </c>
      <c r="L81" s="6" t="s">
        <v>5</v>
      </c>
      <c r="M81" s="6">
        <v>280</v>
      </c>
      <c r="N81" s="6"/>
      <c r="O81" s="6"/>
      <c r="T81" s="6" t="s">
        <v>1708</v>
      </c>
    </row>
    <row r="82" spans="1:20" ht="15.6">
      <c r="A82" s="6" t="s">
        <v>1355</v>
      </c>
      <c r="B82" s="1" t="s">
        <v>269</v>
      </c>
      <c r="C82" s="1" t="s">
        <v>1477</v>
      </c>
      <c r="D82" s="6" t="s">
        <v>790</v>
      </c>
      <c r="E82" s="6">
        <v>9</v>
      </c>
      <c r="F82" s="1" t="s">
        <v>1263</v>
      </c>
      <c r="G82" s="1" t="s">
        <v>843</v>
      </c>
      <c r="H82" s="1" t="s">
        <v>1024</v>
      </c>
      <c r="I82" s="1" t="s">
        <v>8</v>
      </c>
      <c r="J82" s="6"/>
      <c r="K82" s="1" t="s">
        <v>1345</v>
      </c>
      <c r="L82" s="6" t="s">
        <v>5</v>
      </c>
      <c r="M82" s="6">
        <v>453</v>
      </c>
      <c r="N82" s="6"/>
      <c r="O82" s="6"/>
      <c r="T82" s="1" t="s">
        <v>519</v>
      </c>
    </row>
    <row r="83" spans="1:20" ht="15.6">
      <c r="A83" s="6" t="s">
        <v>1023</v>
      </c>
      <c r="B83" s="1" t="s">
        <v>269</v>
      </c>
      <c r="C83" s="1" t="s">
        <v>1475</v>
      </c>
      <c r="D83" s="6" t="s">
        <v>786</v>
      </c>
      <c r="E83" s="6">
        <v>9</v>
      </c>
      <c r="F83" s="1" t="s">
        <v>1263</v>
      </c>
      <c r="G83" s="1" t="s">
        <v>843</v>
      </c>
      <c r="H83" s="1" t="s">
        <v>1025</v>
      </c>
      <c r="I83" s="1" t="s">
        <v>8</v>
      </c>
      <c r="J83" s="6"/>
      <c r="L83" s="6" t="s">
        <v>5</v>
      </c>
      <c r="M83" s="6">
        <v>553</v>
      </c>
      <c r="N83" s="6"/>
      <c r="O83" s="6"/>
      <c r="T83" s="1" t="s">
        <v>706</v>
      </c>
    </row>
    <row r="84" spans="1:20" ht="15.6">
      <c r="A84" s="6" t="s">
        <v>1570</v>
      </c>
      <c r="B84" s="1" t="s">
        <v>269</v>
      </c>
      <c r="C84" s="1" t="s">
        <v>1475</v>
      </c>
      <c r="D84" s="6" t="s">
        <v>790</v>
      </c>
      <c r="E84" s="6">
        <v>1</v>
      </c>
      <c r="F84" s="6" t="s">
        <v>1265</v>
      </c>
      <c r="G84" s="1" t="s">
        <v>843</v>
      </c>
      <c r="H84" s="6" t="s">
        <v>1025</v>
      </c>
      <c r="I84" s="1" t="s">
        <v>8</v>
      </c>
      <c r="J84" s="6"/>
      <c r="K84" s="1" t="s">
        <v>1345</v>
      </c>
      <c r="L84" s="6" t="s">
        <v>5</v>
      </c>
      <c r="M84" s="6">
        <v>51</v>
      </c>
      <c r="N84" s="6"/>
      <c r="O84" s="6"/>
      <c r="T84" s="6" t="s">
        <v>711</v>
      </c>
    </row>
    <row r="85" spans="1:20" ht="15.6">
      <c r="A85" s="6" t="s">
        <v>1029</v>
      </c>
      <c r="B85" s="1" t="s">
        <v>269</v>
      </c>
      <c r="C85" s="1" t="s">
        <v>1477</v>
      </c>
      <c r="D85" s="6" t="s">
        <v>790</v>
      </c>
      <c r="E85" s="6">
        <v>4</v>
      </c>
      <c r="F85" s="6" t="s">
        <v>1265</v>
      </c>
      <c r="G85" s="1" t="s">
        <v>843</v>
      </c>
      <c r="H85" s="1" t="s">
        <v>1037</v>
      </c>
      <c r="I85" s="1" t="s">
        <v>8</v>
      </c>
      <c r="J85" s="6"/>
      <c r="L85" s="6" t="s">
        <v>5</v>
      </c>
      <c r="M85" s="6">
        <v>253</v>
      </c>
      <c r="N85" s="6"/>
      <c r="O85" s="6"/>
      <c r="T85" s="1" t="s">
        <v>706</v>
      </c>
    </row>
    <row r="86" spans="1:20" ht="15.6">
      <c r="A86" s="6" t="s">
        <v>1041</v>
      </c>
      <c r="B86" s="1" t="s">
        <v>269</v>
      </c>
      <c r="C86" s="1" t="s">
        <v>1477</v>
      </c>
      <c r="D86" s="6" t="s">
        <v>790</v>
      </c>
      <c r="E86" s="6">
        <v>6</v>
      </c>
      <c r="F86" s="6" t="s">
        <v>1265</v>
      </c>
      <c r="G86" s="1" t="s">
        <v>843</v>
      </c>
      <c r="H86" s="1" t="s">
        <v>1037</v>
      </c>
      <c r="I86" s="1" t="s">
        <v>8</v>
      </c>
      <c r="J86" s="6"/>
      <c r="L86" s="6" t="s">
        <v>5</v>
      </c>
      <c r="M86" s="6">
        <v>295</v>
      </c>
      <c r="N86" s="6"/>
      <c r="O86" s="6"/>
      <c r="T86" s="1" t="s">
        <v>706</v>
      </c>
    </row>
    <row r="87" spans="1:20" ht="15.6">
      <c r="A87" s="6" t="s">
        <v>1036</v>
      </c>
      <c r="B87" s="1" t="s">
        <v>269</v>
      </c>
      <c r="C87" s="1" t="s">
        <v>1477</v>
      </c>
      <c r="D87" s="6" t="s">
        <v>786</v>
      </c>
      <c r="E87" s="6">
        <v>3</v>
      </c>
      <c r="F87" s="6" t="s">
        <v>1265</v>
      </c>
      <c r="G87" s="1" t="s">
        <v>843</v>
      </c>
      <c r="H87" s="1" t="s">
        <v>1037</v>
      </c>
      <c r="I87" s="1" t="s">
        <v>8</v>
      </c>
      <c r="J87" s="6"/>
      <c r="L87" s="6" t="s">
        <v>5</v>
      </c>
      <c r="M87" s="6">
        <v>255</v>
      </c>
      <c r="N87" s="6"/>
      <c r="O87" s="6"/>
      <c r="T87" s="6" t="s">
        <v>711</v>
      </c>
    </row>
    <row r="88" spans="1:20" ht="15.6">
      <c r="A88" s="6" t="s">
        <v>1068</v>
      </c>
      <c r="B88" s="1" t="s">
        <v>269</v>
      </c>
      <c r="C88" s="1" t="s">
        <v>1477</v>
      </c>
      <c r="D88" s="6" t="s">
        <v>786</v>
      </c>
      <c r="E88" s="6">
        <v>13</v>
      </c>
      <c r="F88" s="1" t="s">
        <v>1263</v>
      </c>
      <c r="G88" s="1" t="s">
        <v>843</v>
      </c>
      <c r="H88" s="1" t="s">
        <v>1037</v>
      </c>
      <c r="I88" s="1" t="s">
        <v>8</v>
      </c>
      <c r="J88" s="6"/>
      <c r="K88" s="1" t="s">
        <v>1345</v>
      </c>
      <c r="L88" s="6" t="s">
        <v>5</v>
      </c>
      <c r="M88" s="6">
        <v>845</v>
      </c>
      <c r="N88" s="6"/>
      <c r="O88" s="6"/>
      <c r="T88" s="6" t="s">
        <v>1346</v>
      </c>
    </row>
    <row r="89" spans="1:20" ht="15.6">
      <c r="A89" s="6" t="s">
        <v>1690</v>
      </c>
      <c r="B89" s="1" t="s">
        <v>269</v>
      </c>
      <c r="C89" s="1" t="s">
        <v>1477</v>
      </c>
      <c r="D89" s="6" t="s">
        <v>786</v>
      </c>
      <c r="E89" s="6">
        <v>6</v>
      </c>
      <c r="F89" s="1" t="s">
        <v>1263</v>
      </c>
      <c r="G89" s="1" t="s">
        <v>843</v>
      </c>
      <c r="H89" s="1" t="s">
        <v>1037</v>
      </c>
      <c r="I89" s="1" t="s">
        <v>8</v>
      </c>
      <c r="J89" s="6"/>
      <c r="K89" s="1" t="s">
        <v>1345</v>
      </c>
      <c r="L89" s="6" t="s">
        <v>5</v>
      </c>
      <c r="M89" s="6">
        <v>670</v>
      </c>
      <c r="N89" s="6"/>
      <c r="O89" s="6"/>
      <c r="T89" s="6" t="s">
        <v>1754</v>
      </c>
    </row>
    <row r="90" spans="1:20" ht="15.6">
      <c r="A90" s="6" t="s">
        <v>1690</v>
      </c>
      <c r="B90" s="1" t="s">
        <v>269</v>
      </c>
      <c r="C90" s="1" t="s">
        <v>1477</v>
      </c>
      <c r="D90" s="6" t="s">
        <v>786</v>
      </c>
      <c r="E90" s="6">
        <v>6</v>
      </c>
      <c r="F90" s="1" t="s">
        <v>1263</v>
      </c>
      <c r="G90" s="1" t="s">
        <v>843</v>
      </c>
      <c r="H90" s="1" t="s">
        <v>1037</v>
      </c>
      <c r="I90" s="1" t="s">
        <v>8</v>
      </c>
      <c r="J90" s="6"/>
      <c r="K90" s="1" t="s">
        <v>1345</v>
      </c>
      <c r="L90" s="6" t="s">
        <v>5</v>
      </c>
      <c r="M90" s="6">
        <v>670</v>
      </c>
      <c r="N90" s="6"/>
      <c r="O90" s="6"/>
      <c r="T90" s="6" t="s">
        <v>1746</v>
      </c>
    </row>
    <row r="91" spans="1:20" ht="15.6">
      <c r="A91" s="6" t="s">
        <v>1030</v>
      </c>
      <c r="B91" s="1" t="s">
        <v>269</v>
      </c>
      <c r="C91" s="1" t="s">
        <v>1482</v>
      </c>
      <c r="D91" s="6" t="s">
        <v>790</v>
      </c>
      <c r="E91" s="6">
        <v>18</v>
      </c>
      <c r="F91" s="6" t="s">
        <v>1264</v>
      </c>
      <c r="G91" s="1" t="s">
        <v>843</v>
      </c>
      <c r="H91" s="1" t="s">
        <v>1031</v>
      </c>
      <c r="I91" s="1" t="s">
        <v>8</v>
      </c>
      <c r="J91" s="6"/>
      <c r="L91" s="6" t="s">
        <v>5</v>
      </c>
      <c r="M91" s="6">
        <v>260</v>
      </c>
      <c r="N91" s="6"/>
      <c r="O91" s="6"/>
      <c r="T91" s="1" t="s">
        <v>706</v>
      </c>
    </row>
    <row r="92" spans="1:20" ht="15.6">
      <c r="A92" s="6" t="s">
        <v>1032</v>
      </c>
      <c r="B92" s="1" t="s">
        <v>269</v>
      </c>
      <c r="C92" s="1" t="s">
        <v>898</v>
      </c>
      <c r="D92" s="6" t="s">
        <v>786</v>
      </c>
      <c r="E92" s="6">
        <v>7</v>
      </c>
      <c r="F92" s="1" t="s">
        <v>1263</v>
      </c>
      <c r="G92" s="1" t="s">
        <v>843</v>
      </c>
      <c r="H92" s="1" t="s">
        <v>1033</v>
      </c>
      <c r="I92" s="1" t="s">
        <v>8</v>
      </c>
      <c r="J92" s="6"/>
      <c r="L92" s="6" t="s">
        <v>5</v>
      </c>
      <c r="M92" s="6">
        <v>355</v>
      </c>
      <c r="N92" s="6"/>
      <c r="O92" s="6"/>
      <c r="T92" s="1" t="s">
        <v>706</v>
      </c>
    </row>
    <row r="93" spans="1:20" ht="15.6">
      <c r="A93" s="6" t="s">
        <v>1038</v>
      </c>
      <c r="B93" s="1" t="s">
        <v>269</v>
      </c>
      <c r="C93" s="1" t="s">
        <v>1477</v>
      </c>
      <c r="D93" s="6" t="s">
        <v>1011</v>
      </c>
      <c r="E93" s="6">
        <v>10</v>
      </c>
      <c r="F93" s="1" t="s">
        <v>1263</v>
      </c>
      <c r="G93" s="1" t="s">
        <v>843</v>
      </c>
      <c r="H93" s="1" t="s">
        <v>1040</v>
      </c>
      <c r="I93" s="1" t="s">
        <v>8</v>
      </c>
      <c r="J93" s="6"/>
      <c r="L93" s="6" t="s">
        <v>5</v>
      </c>
      <c r="M93" s="6">
        <v>422</v>
      </c>
      <c r="N93" s="6"/>
      <c r="O93" s="6"/>
      <c r="T93" s="1" t="s">
        <v>1039</v>
      </c>
    </row>
    <row r="94" spans="1:20" ht="15.6">
      <c r="A94" s="6" t="s">
        <v>1057</v>
      </c>
      <c r="B94" s="1" t="s">
        <v>269</v>
      </c>
      <c r="C94" s="1" t="s">
        <v>1475</v>
      </c>
      <c r="D94" s="6" t="s">
        <v>790</v>
      </c>
      <c r="E94" s="6">
        <v>14</v>
      </c>
      <c r="F94" s="6" t="s">
        <v>1264</v>
      </c>
      <c r="G94" s="1" t="s">
        <v>843</v>
      </c>
      <c r="H94" s="1" t="s">
        <v>1058</v>
      </c>
      <c r="I94" s="1" t="s">
        <v>8</v>
      </c>
      <c r="J94" s="6"/>
      <c r="L94" s="6" t="s">
        <v>5</v>
      </c>
      <c r="M94" s="6">
        <v>270</v>
      </c>
      <c r="N94" s="6"/>
      <c r="O94" s="6"/>
      <c r="T94" s="1" t="s">
        <v>519</v>
      </c>
    </row>
    <row r="95" spans="1:20" ht="15.6">
      <c r="A95" s="6" t="s">
        <v>1051</v>
      </c>
      <c r="B95" s="1" t="s">
        <v>269</v>
      </c>
      <c r="C95" s="1" t="s">
        <v>1475</v>
      </c>
      <c r="D95" s="6" t="s">
        <v>790</v>
      </c>
      <c r="E95" s="6">
        <v>5</v>
      </c>
      <c r="F95" s="6" t="s">
        <v>1264</v>
      </c>
      <c r="G95" s="1" t="s">
        <v>843</v>
      </c>
      <c r="H95" s="1" t="s">
        <v>1058</v>
      </c>
      <c r="I95" s="1" t="s">
        <v>8</v>
      </c>
      <c r="J95" s="6"/>
      <c r="L95" s="6" t="s">
        <v>5</v>
      </c>
      <c r="M95" s="6">
        <v>97</v>
      </c>
      <c r="N95" s="6"/>
      <c r="O95" s="6"/>
      <c r="T95" s="1" t="s">
        <v>519</v>
      </c>
    </row>
    <row r="96" spans="1:20" ht="15.6">
      <c r="A96" s="6" t="s">
        <v>1061</v>
      </c>
      <c r="B96" s="1" t="s">
        <v>269</v>
      </c>
      <c r="C96" s="1" t="s">
        <v>1475</v>
      </c>
      <c r="D96" s="6" t="s">
        <v>790</v>
      </c>
      <c r="E96" s="6">
        <v>11</v>
      </c>
      <c r="F96" s="6" t="s">
        <v>1265</v>
      </c>
      <c r="G96" s="1" t="s">
        <v>843</v>
      </c>
      <c r="H96" s="1" t="s">
        <v>1062</v>
      </c>
      <c r="I96" s="1" t="s">
        <v>8</v>
      </c>
      <c r="J96" s="6"/>
      <c r="L96" s="6" t="s">
        <v>5</v>
      </c>
      <c r="M96" s="6">
        <v>280</v>
      </c>
      <c r="N96" s="6"/>
      <c r="O96" s="6"/>
      <c r="T96" s="1" t="s">
        <v>706</v>
      </c>
    </row>
    <row r="97" spans="1:20" ht="15.6">
      <c r="A97" s="6" t="s">
        <v>1081</v>
      </c>
      <c r="B97" s="1" t="s">
        <v>269</v>
      </c>
      <c r="C97" s="1" t="s">
        <v>1475</v>
      </c>
      <c r="D97" s="6" t="s">
        <v>790</v>
      </c>
      <c r="E97" s="6">
        <v>7</v>
      </c>
      <c r="F97" s="6" t="s">
        <v>1265</v>
      </c>
      <c r="G97" s="1" t="s">
        <v>843</v>
      </c>
      <c r="H97" s="1" t="s">
        <v>1062</v>
      </c>
      <c r="I97" s="1" t="s">
        <v>8</v>
      </c>
      <c r="J97" s="6"/>
      <c r="L97" s="6" t="s">
        <v>5</v>
      </c>
      <c r="M97" s="6">
        <v>350</v>
      </c>
      <c r="N97" s="6"/>
      <c r="O97" s="6"/>
      <c r="T97" t="s">
        <v>1006</v>
      </c>
    </row>
    <row r="98" spans="1:20" ht="15.6">
      <c r="A98" s="6" t="s">
        <v>1105</v>
      </c>
      <c r="B98" s="1" t="s">
        <v>269</v>
      </c>
      <c r="C98" s="1" t="s">
        <v>1475</v>
      </c>
      <c r="D98" s="6" t="s">
        <v>790</v>
      </c>
      <c r="E98" s="6">
        <v>1</v>
      </c>
      <c r="F98" s="6" t="s">
        <v>1265</v>
      </c>
      <c r="G98" s="1" t="s">
        <v>843</v>
      </c>
      <c r="H98" s="1" t="s">
        <v>1062</v>
      </c>
      <c r="I98" s="1" t="s">
        <v>8</v>
      </c>
      <c r="J98" s="6"/>
      <c r="L98" s="6" t="s">
        <v>5</v>
      </c>
      <c r="M98" s="6">
        <v>38</v>
      </c>
      <c r="N98" s="6"/>
      <c r="O98" s="6"/>
      <c r="T98" s="6" t="s">
        <v>711</v>
      </c>
    </row>
    <row r="99" spans="1:20" ht="15.6">
      <c r="A99" s="6" t="s">
        <v>1066</v>
      </c>
      <c r="B99" s="1" t="s">
        <v>269</v>
      </c>
      <c r="C99" s="1" t="s">
        <v>1474</v>
      </c>
      <c r="D99" s="6" t="s">
        <v>790</v>
      </c>
      <c r="E99" s="6">
        <v>15</v>
      </c>
      <c r="F99" s="6" t="s">
        <v>1265</v>
      </c>
      <c r="G99" s="1" t="s">
        <v>843</v>
      </c>
      <c r="H99" s="1" t="s">
        <v>1238</v>
      </c>
      <c r="I99" s="1" t="s">
        <v>8</v>
      </c>
      <c r="J99" s="6"/>
      <c r="L99" s="6" t="s">
        <v>5</v>
      </c>
      <c r="M99" s="6">
        <v>515</v>
      </c>
      <c r="N99" s="6"/>
      <c r="O99" s="6"/>
      <c r="T99" s="1" t="s">
        <v>1067</v>
      </c>
    </row>
    <row r="100" spans="1:20" ht="15.6">
      <c r="A100" s="6" t="s">
        <v>1145</v>
      </c>
      <c r="B100" s="1" t="s">
        <v>269</v>
      </c>
      <c r="C100" s="1" t="s">
        <v>1474</v>
      </c>
      <c r="D100" s="6" t="s">
        <v>790</v>
      </c>
      <c r="E100" s="6">
        <v>10</v>
      </c>
      <c r="F100" s="6" t="s">
        <v>1265</v>
      </c>
      <c r="G100" s="1" t="s">
        <v>843</v>
      </c>
      <c r="H100" s="1" t="s">
        <v>1238</v>
      </c>
      <c r="I100" s="1" t="s">
        <v>8</v>
      </c>
      <c r="J100" s="6"/>
      <c r="L100" s="6" t="s">
        <v>5</v>
      </c>
      <c r="M100" s="6">
        <v>352</v>
      </c>
      <c r="N100" s="6"/>
      <c r="O100" s="6"/>
      <c r="T100" s="6" t="s">
        <v>711</v>
      </c>
    </row>
    <row r="101" spans="1:20" ht="15.6">
      <c r="A101" s="6" t="s">
        <v>1103</v>
      </c>
      <c r="B101" s="1" t="s">
        <v>269</v>
      </c>
      <c r="C101" s="1" t="s">
        <v>1579</v>
      </c>
      <c r="D101" s="6" t="s">
        <v>790</v>
      </c>
      <c r="E101" s="6">
        <v>10</v>
      </c>
      <c r="F101" s="6" t="s">
        <v>1265</v>
      </c>
      <c r="G101" s="1" t="s">
        <v>843</v>
      </c>
      <c r="H101" s="1" t="s">
        <v>1104</v>
      </c>
      <c r="I101" s="1" t="s">
        <v>8</v>
      </c>
      <c r="J101" s="6"/>
      <c r="L101" s="6" t="s">
        <v>5</v>
      </c>
      <c r="M101" s="6">
        <v>299</v>
      </c>
      <c r="N101" s="6"/>
      <c r="O101" s="6"/>
      <c r="T101" s="6" t="s">
        <v>1129</v>
      </c>
    </row>
    <row r="102" spans="1:20" ht="15.6">
      <c r="A102" s="6" t="s">
        <v>1131</v>
      </c>
      <c r="B102" s="1" t="s">
        <v>269</v>
      </c>
      <c r="C102" s="1" t="s">
        <v>1475</v>
      </c>
      <c r="D102" s="6" t="s">
        <v>795</v>
      </c>
      <c r="E102" s="6">
        <v>5</v>
      </c>
      <c r="F102" s="6" t="s">
        <v>1265</v>
      </c>
      <c r="G102" s="1" t="s">
        <v>843</v>
      </c>
      <c r="H102" s="1" t="s">
        <v>1132</v>
      </c>
      <c r="I102" s="1" t="s">
        <v>8</v>
      </c>
      <c r="J102" s="6"/>
      <c r="K102" s="1" t="s">
        <v>1345</v>
      </c>
      <c r="L102" s="6" t="s">
        <v>5</v>
      </c>
      <c r="M102" s="6">
        <v>309</v>
      </c>
      <c r="N102" s="6"/>
      <c r="O102" s="6"/>
      <c r="T102" s="1" t="s">
        <v>1346</v>
      </c>
    </row>
    <row r="103" spans="1:20" ht="15.6">
      <c r="A103" s="6" t="s">
        <v>1562</v>
      </c>
      <c r="B103" s="1" t="s">
        <v>269</v>
      </c>
      <c r="C103" s="1" t="s">
        <v>1475</v>
      </c>
      <c r="D103" s="6" t="s">
        <v>790</v>
      </c>
      <c r="E103" s="6">
        <v>1</v>
      </c>
      <c r="F103" s="1" t="s">
        <v>1265</v>
      </c>
      <c r="G103" s="1" t="s">
        <v>843</v>
      </c>
      <c r="H103" s="6" t="s">
        <v>1141</v>
      </c>
      <c r="I103" s="1" t="s">
        <v>8</v>
      </c>
      <c r="J103" s="6"/>
      <c r="L103" s="6" t="s">
        <v>319</v>
      </c>
      <c r="M103" s="6">
        <v>13</v>
      </c>
      <c r="N103" s="6"/>
      <c r="O103" s="6"/>
      <c r="T103" s="6" t="s">
        <v>711</v>
      </c>
    </row>
    <row r="104" spans="1:20" ht="15.6">
      <c r="A104" s="6" t="s">
        <v>1110</v>
      </c>
      <c r="B104" s="1" t="s">
        <v>1414</v>
      </c>
      <c r="C104" s="1" t="s">
        <v>1475</v>
      </c>
      <c r="D104" s="6" t="s">
        <v>790</v>
      </c>
      <c r="E104" s="6">
        <v>1</v>
      </c>
      <c r="F104" s="6" t="s">
        <v>1265</v>
      </c>
      <c r="G104" s="6" t="s">
        <v>844</v>
      </c>
      <c r="H104" s="1" t="s">
        <v>1141</v>
      </c>
      <c r="I104" s="1" t="s">
        <v>8</v>
      </c>
      <c r="J104" s="6"/>
      <c r="L104" s="6" t="s">
        <v>5</v>
      </c>
      <c r="M104" s="6">
        <v>16</v>
      </c>
      <c r="N104" s="6"/>
      <c r="O104" s="6"/>
      <c r="T104" s="6" t="s">
        <v>711</v>
      </c>
    </row>
    <row r="105" spans="1:20" ht="15.6">
      <c r="A105" s="6" t="s">
        <v>1139</v>
      </c>
      <c r="B105" s="1" t="s">
        <v>269</v>
      </c>
      <c r="C105" s="1" t="s">
        <v>1475</v>
      </c>
      <c r="D105" s="6" t="s">
        <v>790</v>
      </c>
      <c r="E105" s="6">
        <v>3</v>
      </c>
      <c r="F105" s="6" t="s">
        <v>1265</v>
      </c>
      <c r="G105" s="1" t="s">
        <v>843</v>
      </c>
      <c r="H105" s="1" t="s">
        <v>1140</v>
      </c>
      <c r="I105" s="1" t="s">
        <v>8</v>
      </c>
      <c r="J105" s="6"/>
      <c r="L105" s="6" t="s">
        <v>5</v>
      </c>
      <c r="M105" s="6">
        <v>190</v>
      </c>
      <c r="N105" s="6"/>
      <c r="O105" s="6"/>
      <c r="T105" t="s">
        <v>1006</v>
      </c>
    </row>
    <row r="106" spans="1:20" ht="15.6">
      <c r="A106" s="6" t="s">
        <v>1172</v>
      </c>
      <c r="B106" s="1" t="s">
        <v>269</v>
      </c>
      <c r="C106" s="1" t="s">
        <v>1475</v>
      </c>
      <c r="D106" s="6" t="s">
        <v>790</v>
      </c>
      <c r="E106" s="6">
        <v>13</v>
      </c>
      <c r="F106" s="6" t="s">
        <v>1265</v>
      </c>
      <c r="G106" s="1" t="s">
        <v>843</v>
      </c>
      <c r="H106" s="1" t="s">
        <v>1173</v>
      </c>
      <c r="I106" s="1" t="s">
        <v>8</v>
      </c>
      <c r="J106" s="6"/>
      <c r="L106" s="6" t="s">
        <v>5</v>
      </c>
      <c r="M106" s="6">
        <v>563</v>
      </c>
      <c r="N106" s="6"/>
      <c r="O106" s="6"/>
      <c r="T106" s="6" t="s">
        <v>1178</v>
      </c>
    </row>
    <row r="107" spans="1:20" ht="15.6">
      <c r="A107" s="6" t="s">
        <v>1181</v>
      </c>
      <c r="B107" s="1" t="s">
        <v>269</v>
      </c>
      <c r="C107" s="1" t="s">
        <v>1475</v>
      </c>
      <c r="D107" s="6" t="s">
        <v>790</v>
      </c>
      <c r="E107" s="6">
        <v>19</v>
      </c>
      <c r="F107" s="6" t="s">
        <v>1265</v>
      </c>
      <c r="G107" s="1" t="s">
        <v>843</v>
      </c>
      <c r="H107" s="1" t="s">
        <v>1179</v>
      </c>
      <c r="I107" s="1" t="s">
        <v>8</v>
      </c>
      <c r="J107" s="6"/>
      <c r="L107" s="6" t="s">
        <v>5</v>
      </c>
      <c r="M107" s="6">
        <v>1850</v>
      </c>
      <c r="N107" s="6"/>
      <c r="O107" s="6"/>
      <c r="T107" t="s">
        <v>1180</v>
      </c>
    </row>
    <row r="108" spans="1:20" ht="15.6">
      <c r="A108" s="6" t="s">
        <v>1726</v>
      </c>
      <c r="B108" s="1" t="s">
        <v>269</v>
      </c>
      <c r="C108" s="1" t="s">
        <v>1475</v>
      </c>
      <c r="D108" s="6" t="s">
        <v>790</v>
      </c>
      <c r="E108" s="6">
        <v>16</v>
      </c>
      <c r="F108" s="6" t="s">
        <v>1265</v>
      </c>
      <c r="G108" s="1" t="s">
        <v>843</v>
      </c>
      <c r="H108" s="1" t="s">
        <v>1179</v>
      </c>
      <c r="I108" s="1" t="s">
        <v>8</v>
      </c>
      <c r="J108" s="6" t="s">
        <v>1727</v>
      </c>
      <c r="L108" s="6" t="s">
        <v>5</v>
      </c>
      <c r="M108" s="6">
        <v>769</v>
      </c>
      <c r="N108" s="6"/>
      <c r="O108" s="6"/>
      <c r="T108" s="6" t="s">
        <v>1728</v>
      </c>
    </row>
    <row r="109" spans="1:20" ht="15.6">
      <c r="A109" s="6" t="s">
        <v>1184</v>
      </c>
      <c r="B109" s="1" t="s">
        <v>269</v>
      </c>
      <c r="C109" s="1" t="s">
        <v>1579</v>
      </c>
      <c r="D109" s="6" t="s">
        <v>790</v>
      </c>
      <c r="E109" s="6">
        <v>13</v>
      </c>
      <c r="F109" s="6" t="s">
        <v>1265</v>
      </c>
      <c r="G109" s="1" t="s">
        <v>843</v>
      </c>
      <c r="H109" s="1" t="s">
        <v>1188</v>
      </c>
      <c r="I109" s="1" t="s">
        <v>8</v>
      </c>
      <c r="J109" s="6"/>
      <c r="L109" s="6" t="s">
        <v>5</v>
      </c>
      <c r="M109" s="6">
        <v>520</v>
      </c>
      <c r="N109" s="6"/>
      <c r="O109" s="6"/>
      <c r="T109" s="6" t="s">
        <v>1214</v>
      </c>
    </row>
    <row r="110" spans="1:20" ht="15.6">
      <c r="A110" s="6" t="s">
        <v>1284</v>
      </c>
      <c r="B110" s="1" t="s">
        <v>269</v>
      </c>
      <c r="C110" s="1" t="s">
        <v>1579</v>
      </c>
      <c r="D110" s="6" t="s">
        <v>790</v>
      </c>
      <c r="E110" s="6">
        <v>12</v>
      </c>
      <c r="F110" s="6" t="s">
        <v>1265</v>
      </c>
      <c r="G110" s="1" t="s">
        <v>843</v>
      </c>
      <c r="H110" s="1" t="s">
        <v>1188</v>
      </c>
      <c r="I110" s="1" t="s">
        <v>8</v>
      </c>
      <c r="J110" s="6"/>
      <c r="L110" s="6" t="s">
        <v>5</v>
      </c>
      <c r="M110" s="6">
        <v>204</v>
      </c>
      <c r="N110" s="6"/>
      <c r="O110" s="6"/>
      <c r="T110" s="1" t="s">
        <v>519</v>
      </c>
    </row>
    <row r="111" spans="1:20" ht="15.6">
      <c r="A111" s="6" t="s">
        <v>1510</v>
      </c>
      <c r="B111" s="1" t="s">
        <v>269</v>
      </c>
      <c r="C111" s="1" t="s">
        <v>1479</v>
      </c>
      <c r="D111" s="6" t="s">
        <v>1423</v>
      </c>
      <c r="E111" s="6">
        <v>1</v>
      </c>
      <c r="F111" s="1" t="s">
        <v>1263</v>
      </c>
      <c r="G111" s="1" t="s">
        <v>843</v>
      </c>
      <c r="H111" s="1" t="s">
        <v>1188</v>
      </c>
      <c r="I111" s="1" t="s">
        <v>8</v>
      </c>
      <c r="J111" s="6"/>
      <c r="L111" s="6" t="s">
        <v>5</v>
      </c>
      <c r="M111" s="6">
        <v>79</v>
      </c>
      <c r="N111" s="6"/>
      <c r="O111" s="6"/>
      <c r="T111" s="6" t="s">
        <v>711</v>
      </c>
    </row>
    <row r="112" spans="1:20" ht="15.6">
      <c r="A112" s="6" t="s">
        <v>1186</v>
      </c>
      <c r="B112" s="1" t="s">
        <v>269</v>
      </c>
      <c r="C112" s="1" t="s">
        <v>898</v>
      </c>
      <c r="D112" s="6" t="s">
        <v>790</v>
      </c>
      <c r="E112" s="6">
        <v>20</v>
      </c>
      <c r="F112" s="6" t="s">
        <v>1265</v>
      </c>
      <c r="G112" s="1" t="s">
        <v>843</v>
      </c>
      <c r="H112" s="1" t="s">
        <v>1203</v>
      </c>
      <c r="I112" s="1" t="s">
        <v>8</v>
      </c>
      <c r="J112" s="6"/>
      <c r="K112" s="6"/>
      <c r="L112" s="6" t="s">
        <v>116</v>
      </c>
      <c r="M112" s="6">
        <v>721</v>
      </c>
      <c r="N112" s="6"/>
      <c r="O112" s="6"/>
      <c r="P112" s="6">
        <v>721</v>
      </c>
      <c r="Q112" s="6">
        <v>726</v>
      </c>
      <c r="R112" s="6">
        <f>Q112-P112</f>
        <v>5</v>
      </c>
      <c r="S112" s="22">
        <f>R112/P112</f>
        <v>6.9348127600554789E-3</v>
      </c>
      <c r="T112" s="6" t="s">
        <v>1319</v>
      </c>
    </row>
    <row r="113" spans="1:20" ht="15.6">
      <c r="A113" s="6" t="s">
        <v>1186</v>
      </c>
      <c r="B113" s="1" t="s">
        <v>269</v>
      </c>
      <c r="C113" s="1" t="s">
        <v>898</v>
      </c>
      <c r="D113" s="6" t="s">
        <v>790</v>
      </c>
      <c r="E113" s="6">
        <v>20</v>
      </c>
      <c r="F113" s="6" t="s">
        <v>1265</v>
      </c>
      <c r="G113" s="1" t="s">
        <v>843</v>
      </c>
      <c r="H113" s="1" t="s">
        <v>1203</v>
      </c>
      <c r="I113" s="1" t="s">
        <v>8</v>
      </c>
      <c r="J113" s="6"/>
      <c r="L113" s="6" t="s">
        <v>5</v>
      </c>
      <c r="M113" s="6">
        <v>745</v>
      </c>
      <c r="N113" s="6"/>
      <c r="O113" s="6"/>
      <c r="T113" s="6" t="s">
        <v>711</v>
      </c>
    </row>
    <row r="114" spans="1:20" ht="15.6">
      <c r="A114" s="6" t="s">
        <v>1186</v>
      </c>
      <c r="B114" s="1" t="s">
        <v>269</v>
      </c>
      <c r="C114" s="1" t="s">
        <v>898</v>
      </c>
      <c r="D114" s="6" t="s">
        <v>790</v>
      </c>
      <c r="E114" s="6">
        <v>20</v>
      </c>
      <c r="F114" s="6" t="s">
        <v>1265</v>
      </c>
      <c r="G114" s="1" t="s">
        <v>843</v>
      </c>
      <c r="H114" s="1" t="s">
        <v>1203</v>
      </c>
      <c r="I114" s="1" t="s">
        <v>8</v>
      </c>
      <c r="J114" s="6"/>
      <c r="L114" s="6" t="s">
        <v>5</v>
      </c>
      <c r="M114" s="6">
        <v>638</v>
      </c>
      <c r="N114" s="6">
        <v>15</v>
      </c>
      <c r="O114" s="6">
        <v>623</v>
      </c>
      <c r="T114" s="6" t="s">
        <v>1751</v>
      </c>
    </row>
    <row r="115" spans="1:20" ht="15.6">
      <c r="A115" s="6" t="s">
        <v>1201</v>
      </c>
      <c r="B115" s="1" t="s">
        <v>269</v>
      </c>
      <c r="C115" s="1" t="s">
        <v>1482</v>
      </c>
      <c r="D115" s="6" t="s">
        <v>1011</v>
      </c>
      <c r="E115" s="6">
        <v>19</v>
      </c>
      <c r="F115" s="6" t="s">
        <v>1265</v>
      </c>
      <c r="G115" s="1" t="s">
        <v>843</v>
      </c>
      <c r="H115" s="6" t="s">
        <v>1202</v>
      </c>
      <c r="I115" s="1" t="s">
        <v>8</v>
      </c>
      <c r="J115" s="6"/>
      <c r="K115" s="1" t="s">
        <v>1345</v>
      </c>
      <c r="L115" s="6" t="s">
        <v>5</v>
      </c>
      <c r="M115" s="6">
        <v>900</v>
      </c>
      <c r="N115" s="6"/>
      <c r="O115" s="6"/>
      <c r="T115" s="6" t="s">
        <v>711</v>
      </c>
    </row>
    <row r="116" spans="1:20" ht="15.6">
      <c r="A116" s="6" t="s">
        <v>1204</v>
      </c>
      <c r="B116" s="1" t="s">
        <v>269</v>
      </c>
      <c r="C116" s="1" t="s">
        <v>1480</v>
      </c>
      <c r="D116" s="6" t="s">
        <v>790</v>
      </c>
      <c r="E116" s="6">
        <v>3</v>
      </c>
      <c r="F116" s="1" t="s">
        <v>1263</v>
      </c>
      <c r="G116" s="1" t="s">
        <v>843</v>
      </c>
      <c r="H116" s="6" t="s">
        <v>1205</v>
      </c>
      <c r="I116" s="1" t="s">
        <v>8</v>
      </c>
      <c r="J116" s="6"/>
      <c r="K116" s="1" t="s">
        <v>1345</v>
      </c>
      <c r="L116" s="6" t="s">
        <v>5</v>
      </c>
      <c r="M116" s="6">
        <v>317</v>
      </c>
      <c r="N116" s="6"/>
      <c r="O116" s="6"/>
      <c r="T116" s="6" t="s">
        <v>711</v>
      </c>
    </row>
    <row r="117" spans="1:20" ht="15.6">
      <c r="A117" s="6" t="s">
        <v>1206</v>
      </c>
      <c r="B117" s="1" t="s">
        <v>269</v>
      </c>
      <c r="C117" s="1" t="s">
        <v>1480</v>
      </c>
      <c r="D117" s="6" t="s">
        <v>790</v>
      </c>
      <c r="E117" s="6">
        <v>4</v>
      </c>
      <c r="F117" s="1" t="s">
        <v>1263</v>
      </c>
      <c r="G117" s="1" t="s">
        <v>843</v>
      </c>
      <c r="H117" s="6" t="s">
        <v>1205</v>
      </c>
      <c r="I117" s="1" t="s">
        <v>8</v>
      </c>
      <c r="J117" s="6"/>
      <c r="L117" s="6" t="s">
        <v>5</v>
      </c>
      <c r="M117" s="6">
        <v>286</v>
      </c>
      <c r="N117" s="6"/>
      <c r="O117" s="6"/>
      <c r="T117" s="6" t="s">
        <v>711</v>
      </c>
    </row>
    <row r="118" spans="1:20" ht="15.6">
      <c r="A118" s="6" t="s">
        <v>1507</v>
      </c>
      <c r="B118" s="1" t="s">
        <v>269</v>
      </c>
      <c r="C118" s="1" t="s">
        <v>1480</v>
      </c>
      <c r="D118" s="6" t="s">
        <v>790</v>
      </c>
      <c r="E118" s="6">
        <v>2</v>
      </c>
      <c r="F118" s="6" t="s">
        <v>1265</v>
      </c>
      <c r="G118" s="1" t="s">
        <v>843</v>
      </c>
      <c r="H118" s="6" t="s">
        <v>1205</v>
      </c>
      <c r="I118" s="1" t="s">
        <v>8</v>
      </c>
      <c r="J118" s="6"/>
      <c r="K118" s="1" t="s">
        <v>1345</v>
      </c>
      <c r="L118" s="6" t="s">
        <v>5</v>
      </c>
      <c r="M118" s="6">
        <v>95</v>
      </c>
      <c r="N118" s="6"/>
      <c r="O118" s="6"/>
      <c r="T118" s="6" t="s">
        <v>711</v>
      </c>
    </row>
    <row r="119" spans="1:20" ht="15.6">
      <c r="A119" s="6" t="s">
        <v>1405</v>
      </c>
      <c r="B119" s="1" t="s">
        <v>269</v>
      </c>
      <c r="C119" s="1" t="s">
        <v>1475</v>
      </c>
      <c r="D119" s="6" t="s">
        <v>790</v>
      </c>
      <c r="E119" s="6">
        <v>29</v>
      </c>
      <c r="F119" s="6" t="s">
        <v>1265</v>
      </c>
      <c r="G119" s="1" t="s">
        <v>843</v>
      </c>
      <c r="H119" s="6" t="s">
        <v>1215</v>
      </c>
      <c r="I119" s="1" t="s">
        <v>8</v>
      </c>
      <c r="J119" s="6"/>
      <c r="L119" s="6" t="s">
        <v>5</v>
      </c>
      <c r="M119" s="6">
        <v>533</v>
      </c>
      <c r="N119" s="6"/>
      <c r="O119" s="6"/>
      <c r="T119" s="6" t="s">
        <v>1404</v>
      </c>
    </row>
    <row r="120" spans="1:20" ht="15.6">
      <c r="A120" s="6" t="s">
        <v>1212</v>
      </c>
      <c r="B120" s="1" t="s">
        <v>269</v>
      </c>
      <c r="C120" s="1" t="s">
        <v>1475</v>
      </c>
      <c r="D120" s="6" t="s">
        <v>790</v>
      </c>
      <c r="E120" s="6">
        <v>22</v>
      </c>
      <c r="F120" s="6" t="s">
        <v>1265</v>
      </c>
      <c r="G120" s="1" t="s">
        <v>843</v>
      </c>
      <c r="H120" s="6" t="s">
        <v>1216</v>
      </c>
      <c r="I120" s="1" t="s">
        <v>8</v>
      </c>
      <c r="J120" s="6"/>
      <c r="L120" s="6" t="s">
        <v>5</v>
      </c>
      <c r="M120" s="6">
        <v>733</v>
      </c>
      <c r="N120" s="6"/>
      <c r="O120" s="6"/>
      <c r="T120" s="6" t="s">
        <v>711</v>
      </c>
    </row>
    <row r="121" spans="1:20" ht="15.6">
      <c r="A121" s="6" t="s">
        <v>1243</v>
      </c>
      <c r="B121" s="1" t="s">
        <v>269</v>
      </c>
      <c r="C121" s="1" t="s">
        <v>1475</v>
      </c>
      <c r="D121" s="6" t="s">
        <v>795</v>
      </c>
      <c r="E121" s="6">
        <v>7</v>
      </c>
      <c r="F121" s="6" t="s">
        <v>1265</v>
      </c>
      <c r="G121" s="1" t="s">
        <v>843</v>
      </c>
      <c r="H121" s="6" t="s">
        <v>852</v>
      </c>
      <c r="I121" s="1" t="s">
        <v>8</v>
      </c>
      <c r="J121" s="6"/>
      <c r="L121" s="6" t="s">
        <v>5</v>
      </c>
      <c r="M121" s="6">
        <v>590</v>
      </c>
      <c r="N121" s="6"/>
      <c r="O121" s="6"/>
      <c r="T121" t="s">
        <v>1180</v>
      </c>
    </row>
    <row r="122" spans="1:20" ht="15.6">
      <c r="A122" s="6" t="s">
        <v>1696</v>
      </c>
      <c r="B122" s="1" t="s">
        <v>1414</v>
      </c>
      <c r="C122" t="s">
        <v>1475</v>
      </c>
      <c r="D122" s="6" t="s">
        <v>790</v>
      </c>
      <c r="E122" s="6">
        <v>1</v>
      </c>
      <c r="F122" s="1" t="s">
        <v>1264</v>
      </c>
      <c r="G122" s="1" t="s">
        <v>843</v>
      </c>
      <c r="H122" s="6" t="s">
        <v>852</v>
      </c>
      <c r="I122" s="1" t="s">
        <v>8</v>
      </c>
      <c r="L122" s="6" t="s">
        <v>319</v>
      </c>
      <c r="M122" s="6">
        <v>56</v>
      </c>
      <c r="N122" s="6"/>
      <c r="O122" s="6"/>
      <c r="T122" s="6" t="s">
        <v>793</v>
      </c>
    </row>
    <row r="123" spans="1:20" ht="15.6">
      <c r="A123" s="6" t="s">
        <v>1253</v>
      </c>
      <c r="B123" s="1" t="s">
        <v>269</v>
      </c>
      <c r="C123" s="1" t="s">
        <v>1477</v>
      </c>
      <c r="D123" s="6" t="s">
        <v>790</v>
      </c>
      <c r="E123" s="6">
        <v>30</v>
      </c>
      <c r="F123" s="6" t="s">
        <v>1265</v>
      </c>
      <c r="G123" s="1" t="s">
        <v>843</v>
      </c>
      <c r="H123" s="6" t="s">
        <v>1246</v>
      </c>
      <c r="I123" s="1" t="s">
        <v>8</v>
      </c>
      <c r="J123" s="6"/>
      <c r="L123" s="6" t="s">
        <v>5</v>
      </c>
      <c r="M123" s="6">
        <v>1149</v>
      </c>
      <c r="N123" s="6"/>
      <c r="O123" s="6"/>
      <c r="T123" t="s">
        <v>1180</v>
      </c>
    </row>
    <row r="124" spans="1:20" ht="15.6">
      <c r="A124" s="6" t="s">
        <v>1244</v>
      </c>
      <c r="B124" s="1" t="s">
        <v>269</v>
      </c>
      <c r="C124" s="1" t="s">
        <v>1475</v>
      </c>
      <c r="D124" s="6" t="s">
        <v>795</v>
      </c>
      <c r="E124" s="6">
        <v>17</v>
      </c>
      <c r="F124" s="1" t="s">
        <v>1263</v>
      </c>
      <c r="G124" s="1" t="s">
        <v>843</v>
      </c>
      <c r="H124" s="6" t="s">
        <v>1247</v>
      </c>
      <c r="I124" s="1" t="s">
        <v>8</v>
      </c>
      <c r="J124" s="6"/>
      <c r="L124" s="6" t="s">
        <v>5</v>
      </c>
      <c r="M124" s="6">
        <v>1370</v>
      </c>
      <c r="N124" s="6"/>
      <c r="O124" s="6"/>
      <c r="T124" t="s">
        <v>1180</v>
      </c>
    </row>
    <row r="125" spans="1:20" ht="15.6">
      <c r="A125" s="6" t="s">
        <v>1255</v>
      </c>
      <c r="B125" s="1" t="s">
        <v>269</v>
      </c>
      <c r="C125" s="1" t="s">
        <v>1477</v>
      </c>
      <c r="D125" s="6" t="s">
        <v>790</v>
      </c>
      <c r="E125" s="6">
        <v>10</v>
      </c>
      <c r="F125" s="6" t="s">
        <v>1265</v>
      </c>
      <c r="G125" s="1" t="s">
        <v>843</v>
      </c>
      <c r="H125" s="6" t="s">
        <v>1256</v>
      </c>
      <c r="I125" s="1" t="s">
        <v>8</v>
      </c>
      <c r="J125" s="6"/>
      <c r="L125" s="6" t="s">
        <v>5</v>
      </c>
      <c r="M125" s="6">
        <v>490</v>
      </c>
      <c r="N125" s="6"/>
      <c r="O125" s="6"/>
      <c r="T125" s="6" t="s">
        <v>1180</v>
      </c>
    </row>
    <row r="126" spans="1:20" ht="15.6">
      <c r="A126" s="6" t="s">
        <v>1254</v>
      </c>
      <c r="B126" s="1" t="s">
        <v>269</v>
      </c>
      <c r="C126" s="1" t="s">
        <v>1477</v>
      </c>
      <c r="D126" s="6" t="s">
        <v>790</v>
      </c>
      <c r="E126" s="6">
        <v>37</v>
      </c>
      <c r="F126" s="6" t="s">
        <v>1265</v>
      </c>
      <c r="G126" s="1" t="s">
        <v>843</v>
      </c>
      <c r="H126" s="1" t="s">
        <v>1256</v>
      </c>
      <c r="I126" s="1" t="s">
        <v>8</v>
      </c>
      <c r="J126" s="6"/>
      <c r="L126" s="6" t="s">
        <v>5</v>
      </c>
      <c r="M126" s="6">
        <v>1373</v>
      </c>
      <c r="N126" s="6"/>
      <c r="O126" s="6"/>
      <c r="T126" s="6" t="s">
        <v>1770</v>
      </c>
    </row>
    <row r="127" spans="1:20" ht="15.6">
      <c r="A127" s="6" t="s">
        <v>1689</v>
      </c>
      <c r="B127" s="1" t="s">
        <v>269</v>
      </c>
      <c r="C127" s="1" t="s">
        <v>1477</v>
      </c>
      <c r="D127" s="6" t="s">
        <v>790</v>
      </c>
      <c r="E127" s="6">
        <v>3</v>
      </c>
      <c r="F127" s="1" t="s">
        <v>1265</v>
      </c>
      <c r="G127" s="1" t="s">
        <v>843</v>
      </c>
      <c r="H127" s="6" t="s">
        <v>1256</v>
      </c>
      <c r="I127" s="1" t="s">
        <v>29</v>
      </c>
      <c r="J127" s="6"/>
      <c r="L127" s="6" t="s">
        <v>319</v>
      </c>
      <c r="M127" s="6">
        <v>140</v>
      </c>
      <c r="N127" s="6"/>
      <c r="O127" s="6"/>
      <c r="T127" s="6" t="s">
        <v>1006</v>
      </c>
    </row>
    <row r="128" spans="1:20" ht="15.6">
      <c r="A128" s="6" t="s">
        <v>1258</v>
      </c>
      <c r="B128" s="1" t="s">
        <v>269</v>
      </c>
      <c r="C128" s="1" t="s">
        <v>898</v>
      </c>
      <c r="D128" s="6" t="s">
        <v>790</v>
      </c>
      <c r="E128" s="6">
        <v>19</v>
      </c>
      <c r="F128" s="6" t="s">
        <v>1265</v>
      </c>
      <c r="G128" s="1" t="s">
        <v>843</v>
      </c>
      <c r="H128" s="6" t="s">
        <v>1259</v>
      </c>
      <c r="I128" s="1" t="s">
        <v>8</v>
      </c>
      <c r="J128" s="6"/>
      <c r="L128" s="6" t="s">
        <v>5</v>
      </c>
      <c r="M128" s="6"/>
      <c r="N128" s="6"/>
      <c r="O128" s="6"/>
      <c r="T128" s="1" t="s">
        <v>706</v>
      </c>
    </row>
    <row r="129" spans="1:20" ht="15.6">
      <c r="A129" s="6" t="s">
        <v>1213</v>
      </c>
      <c r="B129" s="1" t="s">
        <v>269</v>
      </c>
      <c r="C129" s="1" t="s">
        <v>1475</v>
      </c>
      <c r="D129" s="6" t="s">
        <v>795</v>
      </c>
      <c r="E129" s="6">
        <v>21</v>
      </c>
      <c r="F129" s="6" t="s">
        <v>1265</v>
      </c>
      <c r="G129" s="1" t="s">
        <v>843</v>
      </c>
      <c r="H129" s="6" t="s">
        <v>1217</v>
      </c>
      <c r="I129" s="1" t="s">
        <v>8</v>
      </c>
      <c r="J129" s="6"/>
      <c r="L129" s="6" t="s">
        <v>5</v>
      </c>
      <c r="M129" s="6">
        <v>793</v>
      </c>
      <c r="N129" s="6"/>
      <c r="O129" s="6"/>
      <c r="T129" s="6" t="s">
        <v>1276</v>
      </c>
    </row>
    <row r="130" spans="1:20" ht="15.6">
      <c r="A130" s="6" t="s">
        <v>1578</v>
      </c>
      <c r="B130" s="1" t="s">
        <v>269</v>
      </c>
      <c r="C130" s="1" t="s">
        <v>1479</v>
      </c>
      <c r="D130" s="6" t="s">
        <v>795</v>
      </c>
      <c r="E130" s="6">
        <v>13</v>
      </c>
      <c r="F130" s="6" t="s">
        <v>1265</v>
      </c>
      <c r="G130" s="1" t="s">
        <v>843</v>
      </c>
      <c r="H130" s="6" t="s">
        <v>1379</v>
      </c>
      <c r="I130" s="1" t="s">
        <v>8</v>
      </c>
      <c r="J130" s="6"/>
      <c r="L130" s="6" t="s">
        <v>5</v>
      </c>
      <c r="M130" s="6">
        <v>638</v>
      </c>
      <c r="N130" s="6"/>
      <c r="O130" s="6"/>
      <c r="T130" s="6" t="s">
        <v>711</v>
      </c>
    </row>
    <row r="131" spans="1:20" ht="15.6" hidden="1">
      <c r="A131" s="6" t="s">
        <v>1366</v>
      </c>
      <c r="B131" s="1" t="s">
        <v>269</v>
      </c>
      <c r="C131" s="1" t="s">
        <v>1479</v>
      </c>
      <c r="D131" s="6" t="s">
        <v>795</v>
      </c>
      <c r="E131" s="6">
        <v>1</v>
      </c>
      <c r="F131" s="6" t="s">
        <v>1265</v>
      </c>
      <c r="G131" s="6" t="s">
        <v>844</v>
      </c>
      <c r="H131" s="6" t="s">
        <v>1379</v>
      </c>
      <c r="I131" s="1" t="s">
        <v>8</v>
      </c>
      <c r="J131" s="6"/>
      <c r="L131" s="6" t="s">
        <v>5</v>
      </c>
      <c r="T131" s="6" t="s">
        <v>1457</v>
      </c>
    </row>
    <row r="132" spans="1:20" ht="15.6" hidden="1">
      <c r="A132" s="6" t="s">
        <v>1367</v>
      </c>
      <c r="B132" s="1" t="s">
        <v>269</v>
      </c>
      <c r="C132" s="1" t="s">
        <v>1479</v>
      </c>
      <c r="D132" s="6" t="s">
        <v>795</v>
      </c>
      <c r="E132" s="6">
        <v>1</v>
      </c>
      <c r="F132" s="6" t="s">
        <v>1265</v>
      </c>
      <c r="G132" s="6" t="s">
        <v>844</v>
      </c>
      <c r="H132" s="6" t="s">
        <v>1379</v>
      </c>
      <c r="I132" s="1" t="s">
        <v>8</v>
      </c>
      <c r="J132" s="6"/>
      <c r="L132" s="6" t="s">
        <v>5</v>
      </c>
      <c r="T132" s="6" t="s">
        <v>1459</v>
      </c>
    </row>
    <row r="133" spans="1:20" ht="15.6" hidden="1">
      <c r="A133" s="6" t="s">
        <v>1368</v>
      </c>
      <c r="B133" s="1" t="s">
        <v>269</v>
      </c>
      <c r="C133" s="1" t="s">
        <v>1479</v>
      </c>
      <c r="D133" s="6" t="s">
        <v>795</v>
      </c>
      <c r="E133" s="6">
        <v>1</v>
      </c>
      <c r="F133" s="6" t="s">
        <v>1265</v>
      </c>
      <c r="G133" s="6" t="s">
        <v>844</v>
      </c>
      <c r="H133" s="6" t="s">
        <v>1379</v>
      </c>
      <c r="I133" s="1" t="s">
        <v>8</v>
      </c>
      <c r="J133" s="6"/>
      <c r="L133" s="6" t="s">
        <v>5</v>
      </c>
      <c r="T133" s="6" t="s">
        <v>1460</v>
      </c>
    </row>
    <row r="134" spans="1:20" ht="15.6" hidden="1">
      <c r="A134" s="6" t="s">
        <v>1369</v>
      </c>
      <c r="B134" s="1" t="s">
        <v>269</v>
      </c>
      <c r="C134" s="1" t="s">
        <v>1479</v>
      </c>
      <c r="D134" s="6" t="s">
        <v>795</v>
      </c>
      <c r="E134" s="6">
        <v>1</v>
      </c>
      <c r="F134" s="6" t="s">
        <v>1265</v>
      </c>
      <c r="G134" s="6" t="s">
        <v>844</v>
      </c>
      <c r="H134" s="6" t="s">
        <v>1379</v>
      </c>
      <c r="I134" s="1" t="s">
        <v>8</v>
      </c>
      <c r="J134" s="6"/>
      <c r="L134" s="6" t="s">
        <v>5</v>
      </c>
      <c r="T134" s="6" t="s">
        <v>1454</v>
      </c>
    </row>
    <row r="135" spans="1:20" ht="15.6" hidden="1">
      <c r="A135" s="6" t="s">
        <v>1370</v>
      </c>
      <c r="B135" s="1" t="s">
        <v>269</v>
      </c>
      <c r="C135" s="1" t="s">
        <v>1479</v>
      </c>
      <c r="D135" s="6" t="s">
        <v>795</v>
      </c>
      <c r="E135" s="6">
        <v>1</v>
      </c>
      <c r="F135" s="6" t="s">
        <v>1265</v>
      </c>
      <c r="G135" s="6" t="s">
        <v>844</v>
      </c>
      <c r="H135" s="6" t="s">
        <v>1379</v>
      </c>
      <c r="I135" s="1" t="s">
        <v>8</v>
      </c>
      <c r="J135" s="6"/>
      <c r="L135" s="6" t="s">
        <v>5</v>
      </c>
      <c r="T135" s="6" t="s">
        <v>1451</v>
      </c>
    </row>
    <row r="136" spans="1:20" ht="15.6" hidden="1">
      <c r="A136" s="6" t="s">
        <v>1371</v>
      </c>
      <c r="B136" s="1" t="s">
        <v>269</v>
      </c>
      <c r="C136" s="1" t="s">
        <v>1479</v>
      </c>
      <c r="D136" s="6" t="s">
        <v>795</v>
      </c>
      <c r="E136" s="6">
        <v>1</v>
      </c>
      <c r="F136" s="6" t="s">
        <v>1265</v>
      </c>
      <c r="G136" s="6" t="s">
        <v>844</v>
      </c>
      <c r="H136" s="6" t="s">
        <v>1379</v>
      </c>
      <c r="I136" s="1" t="s">
        <v>8</v>
      </c>
      <c r="J136" s="6"/>
      <c r="L136" s="6" t="s">
        <v>5</v>
      </c>
      <c r="T136" s="6" t="s">
        <v>1457</v>
      </c>
    </row>
    <row r="137" spans="1:20" ht="15.6" hidden="1">
      <c r="A137" s="6" t="s">
        <v>1372</v>
      </c>
      <c r="B137" s="1" t="s">
        <v>269</v>
      </c>
      <c r="C137" s="1" t="s">
        <v>1479</v>
      </c>
      <c r="D137" s="6" t="s">
        <v>795</v>
      </c>
      <c r="E137" s="6">
        <v>1</v>
      </c>
      <c r="F137" s="6" t="s">
        <v>1265</v>
      </c>
      <c r="G137" s="6" t="s">
        <v>844</v>
      </c>
      <c r="H137" s="6" t="s">
        <v>1379</v>
      </c>
      <c r="I137" s="1" t="s">
        <v>8</v>
      </c>
      <c r="J137" s="6"/>
      <c r="L137" s="6" t="s">
        <v>5</v>
      </c>
      <c r="T137" s="6" t="s">
        <v>1456</v>
      </c>
    </row>
    <row r="138" spans="1:20" ht="15.6" hidden="1">
      <c r="A138" s="6" t="s">
        <v>1373</v>
      </c>
      <c r="B138" s="1" t="s">
        <v>269</v>
      </c>
      <c r="C138" s="1" t="s">
        <v>1479</v>
      </c>
      <c r="D138" s="6" t="s">
        <v>795</v>
      </c>
      <c r="E138" s="6">
        <v>1</v>
      </c>
      <c r="F138" s="6" t="s">
        <v>1265</v>
      </c>
      <c r="G138" s="6" t="s">
        <v>844</v>
      </c>
      <c r="H138" s="6" t="s">
        <v>1379</v>
      </c>
      <c r="I138" s="1" t="s">
        <v>8</v>
      </c>
      <c r="J138" s="6"/>
      <c r="L138" s="6" t="s">
        <v>5</v>
      </c>
      <c r="T138" s="6" t="s">
        <v>1461</v>
      </c>
    </row>
    <row r="139" spans="1:20" ht="15.6" hidden="1">
      <c r="A139" s="6" t="s">
        <v>1374</v>
      </c>
      <c r="B139" s="1" t="s">
        <v>269</v>
      </c>
      <c r="C139" s="1" t="s">
        <v>1479</v>
      </c>
      <c r="D139" s="6" t="s">
        <v>795</v>
      </c>
      <c r="E139" s="6">
        <v>1</v>
      </c>
      <c r="F139" s="6" t="s">
        <v>1265</v>
      </c>
      <c r="G139" s="6" t="s">
        <v>844</v>
      </c>
      <c r="H139" s="6" t="s">
        <v>1379</v>
      </c>
      <c r="I139" s="1" t="s">
        <v>8</v>
      </c>
      <c r="J139" s="6"/>
      <c r="L139" s="6" t="s">
        <v>5</v>
      </c>
      <c r="T139" s="6" t="s">
        <v>1457</v>
      </c>
    </row>
    <row r="140" spans="1:20" ht="15.6" hidden="1">
      <c r="A140" s="6" t="s">
        <v>1375</v>
      </c>
      <c r="B140" s="1" t="s">
        <v>269</v>
      </c>
      <c r="C140" s="1" t="s">
        <v>1479</v>
      </c>
      <c r="D140" s="6" t="s">
        <v>795</v>
      </c>
      <c r="E140" s="6">
        <v>1</v>
      </c>
      <c r="F140" s="6" t="s">
        <v>1265</v>
      </c>
      <c r="G140" s="6" t="s">
        <v>844</v>
      </c>
      <c r="H140" s="6" t="s">
        <v>1379</v>
      </c>
      <c r="I140" s="1" t="s">
        <v>8</v>
      </c>
      <c r="J140" s="6"/>
      <c r="L140" s="6" t="s">
        <v>5</v>
      </c>
      <c r="T140" s="6" t="s">
        <v>1457</v>
      </c>
    </row>
    <row r="141" spans="1:20" ht="15.6" hidden="1">
      <c r="A141" s="6" t="s">
        <v>1376</v>
      </c>
      <c r="B141" s="1" t="s">
        <v>269</v>
      </c>
      <c r="C141" s="1" t="s">
        <v>1479</v>
      </c>
      <c r="D141" s="6" t="s">
        <v>795</v>
      </c>
      <c r="E141" s="6">
        <v>1</v>
      </c>
      <c r="F141" s="6" t="s">
        <v>1265</v>
      </c>
      <c r="G141" s="6" t="s">
        <v>844</v>
      </c>
      <c r="H141" s="6" t="s">
        <v>1379</v>
      </c>
      <c r="I141" s="1" t="s">
        <v>8</v>
      </c>
      <c r="J141" s="6"/>
      <c r="L141" s="6" t="s">
        <v>5</v>
      </c>
      <c r="T141" s="6" t="s">
        <v>1459</v>
      </c>
    </row>
    <row r="142" spans="1:20" ht="15.6" hidden="1">
      <c r="A142" s="6" t="s">
        <v>1377</v>
      </c>
      <c r="B142" s="1" t="s">
        <v>269</v>
      </c>
      <c r="C142" s="1" t="s">
        <v>1479</v>
      </c>
      <c r="D142" s="6" t="s">
        <v>795</v>
      </c>
      <c r="E142" s="6">
        <v>1</v>
      </c>
      <c r="F142" s="6" t="s">
        <v>1265</v>
      </c>
      <c r="G142" s="6" t="s">
        <v>844</v>
      </c>
      <c r="H142" s="6" t="s">
        <v>1379</v>
      </c>
      <c r="I142" s="1" t="s">
        <v>8</v>
      </c>
      <c r="J142" s="6"/>
      <c r="L142" s="6" t="s">
        <v>5</v>
      </c>
      <c r="T142" s="6" t="s">
        <v>1451</v>
      </c>
    </row>
    <row r="143" spans="1:20" ht="15.6" hidden="1">
      <c r="A143" s="6" t="s">
        <v>1378</v>
      </c>
      <c r="B143" s="1" t="s">
        <v>269</v>
      </c>
      <c r="C143" s="1" t="s">
        <v>1479</v>
      </c>
      <c r="D143" s="6" t="s">
        <v>795</v>
      </c>
      <c r="E143" s="6">
        <v>1</v>
      </c>
      <c r="F143" s="6" t="s">
        <v>1265</v>
      </c>
      <c r="G143" s="6" t="s">
        <v>844</v>
      </c>
      <c r="H143" s="6" t="s">
        <v>1379</v>
      </c>
      <c r="I143" s="1" t="s">
        <v>8</v>
      </c>
      <c r="J143" s="6"/>
      <c r="L143" s="6" t="s">
        <v>5</v>
      </c>
      <c r="M143" s="6"/>
      <c r="N143" s="6"/>
      <c r="O143" s="6"/>
      <c r="T143" s="6" t="s">
        <v>1489</v>
      </c>
    </row>
    <row r="144" spans="1:20" ht="15.6">
      <c r="A144" s="6" t="s">
        <v>1278</v>
      </c>
      <c r="B144" s="1" t="s">
        <v>269</v>
      </c>
      <c r="C144" s="1" t="s">
        <v>1577</v>
      </c>
      <c r="D144" s="6" t="s">
        <v>818</v>
      </c>
      <c r="E144" s="6">
        <v>11</v>
      </c>
      <c r="F144" s="1" t="s">
        <v>1263</v>
      </c>
      <c r="G144" s="1" t="s">
        <v>843</v>
      </c>
      <c r="H144" s="6" t="s">
        <v>1281</v>
      </c>
      <c r="I144" s="1" t="s">
        <v>8</v>
      </c>
      <c r="J144" s="6"/>
      <c r="L144" s="6" t="s">
        <v>5</v>
      </c>
      <c r="M144" s="6">
        <v>72</v>
      </c>
      <c r="N144" s="6"/>
      <c r="O144" s="6"/>
      <c r="T144" s="1" t="s">
        <v>706</v>
      </c>
    </row>
    <row r="145" spans="1:20" ht="15.6">
      <c r="A145" s="6" t="s">
        <v>1278</v>
      </c>
      <c r="B145" s="1" t="s">
        <v>269</v>
      </c>
      <c r="C145" s="1" t="s">
        <v>1577</v>
      </c>
      <c r="D145" s="6" t="s">
        <v>818</v>
      </c>
      <c r="E145" s="6">
        <v>11</v>
      </c>
      <c r="F145" s="1" t="s">
        <v>1263</v>
      </c>
      <c r="G145" s="1" t="s">
        <v>843</v>
      </c>
      <c r="H145" s="6" t="s">
        <v>1281</v>
      </c>
      <c r="I145" s="1" t="s">
        <v>8</v>
      </c>
      <c r="J145" s="6"/>
      <c r="K145" s="1" t="s">
        <v>1345</v>
      </c>
      <c r="L145" s="6" t="s">
        <v>5</v>
      </c>
      <c r="M145" s="6">
        <v>275</v>
      </c>
      <c r="N145" s="6"/>
      <c r="O145" s="6"/>
      <c r="T145" s="1" t="s">
        <v>706</v>
      </c>
    </row>
    <row r="146" spans="1:20" ht="15.6">
      <c r="A146" s="6" t="s">
        <v>1279</v>
      </c>
      <c r="B146" s="1" t="s">
        <v>269</v>
      </c>
      <c r="C146" s="1" t="s">
        <v>1475</v>
      </c>
      <c r="D146" s="6" t="s">
        <v>795</v>
      </c>
      <c r="E146" s="6">
        <v>11</v>
      </c>
      <c r="F146" s="6" t="s">
        <v>1265</v>
      </c>
      <c r="G146" s="1" t="s">
        <v>843</v>
      </c>
      <c r="H146" s="6" t="s">
        <v>1280</v>
      </c>
      <c r="I146" s="1" t="s">
        <v>8</v>
      </c>
      <c r="J146" s="6"/>
      <c r="K146" s="1" t="s">
        <v>1345</v>
      </c>
      <c r="L146" s="6" t="s">
        <v>5</v>
      </c>
      <c r="M146" s="6">
        <v>360</v>
      </c>
      <c r="N146" s="6"/>
      <c r="O146" s="6"/>
      <c r="T146" s="1" t="s">
        <v>519</v>
      </c>
    </row>
    <row r="147" spans="1:20" ht="15.6">
      <c r="A147" s="6" t="s">
        <v>1285</v>
      </c>
      <c r="B147" s="1" t="s">
        <v>269</v>
      </c>
      <c r="C147" s="1" t="s">
        <v>1474</v>
      </c>
      <c r="D147" s="6" t="s">
        <v>790</v>
      </c>
      <c r="E147" s="6">
        <v>10</v>
      </c>
      <c r="F147" s="6" t="s">
        <v>1265</v>
      </c>
      <c r="G147" s="1" t="s">
        <v>843</v>
      </c>
      <c r="H147" s="6" t="s">
        <v>1286</v>
      </c>
      <c r="I147" s="1" t="s">
        <v>8</v>
      </c>
      <c r="J147" s="6"/>
      <c r="L147" s="6" t="s">
        <v>5</v>
      </c>
      <c r="M147" s="6">
        <v>162</v>
      </c>
      <c r="N147" s="6"/>
      <c r="O147" s="6"/>
      <c r="T147" s="1" t="s">
        <v>519</v>
      </c>
    </row>
    <row r="148" spans="1:20" ht="15.6">
      <c r="A148" s="6" t="s">
        <v>1290</v>
      </c>
      <c r="B148" s="1" t="s">
        <v>269</v>
      </c>
      <c r="C148" s="1" t="s">
        <v>898</v>
      </c>
      <c r="D148" s="6" t="s">
        <v>790</v>
      </c>
      <c r="E148" s="6">
        <v>8</v>
      </c>
      <c r="F148" s="6" t="s">
        <v>1265</v>
      </c>
      <c r="G148" s="1" t="s">
        <v>843</v>
      </c>
      <c r="H148" s="6" t="s">
        <v>1291</v>
      </c>
      <c r="I148" s="1" t="s">
        <v>8</v>
      </c>
      <c r="J148" s="6"/>
      <c r="L148" s="6" t="s">
        <v>5</v>
      </c>
      <c r="M148" s="6">
        <v>326</v>
      </c>
      <c r="N148" s="6"/>
      <c r="O148" s="6"/>
      <c r="T148" s="1" t="s">
        <v>519</v>
      </c>
    </row>
    <row r="149" spans="1:20" ht="15.6">
      <c r="A149" s="6" t="s">
        <v>1700</v>
      </c>
      <c r="B149" s="1" t="s">
        <v>269</v>
      </c>
      <c r="C149" s="1" t="s">
        <v>898</v>
      </c>
      <c r="D149" s="6" t="s">
        <v>790</v>
      </c>
      <c r="E149" s="6">
        <v>2</v>
      </c>
      <c r="F149" s="6" t="s">
        <v>1265</v>
      </c>
      <c r="G149" s="1" t="s">
        <v>843</v>
      </c>
      <c r="H149" s="6" t="s">
        <v>1291</v>
      </c>
      <c r="I149" s="1" t="s">
        <v>8</v>
      </c>
      <c r="J149" s="6"/>
      <c r="L149" s="6" t="s">
        <v>5</v>
      </c>
      <c r="M149" s="6">
        <v>63</v>
      </c>
      <c r="N149" s="6"/>
      <c r="O149" s="6"/>
      <c r="T149" s="1" t="s">
        <v>793</v>
      </c>
    </row>
    <row r="150" spans="1:20" ht="15.6">
      <c r="A150" s="6" t="s">
        <v>1701</v>
      </c>
      <c r="B150" s="1" t="s">
        <v>1702</v>
      </c>
      <c r="C150" s="1" t="s">
        <v>898</v>
      </c>
      <c r="D150" s="6" t="s">
        <v>790</v>
      </c>
      <c r="E150" s="6">
        <v>3</v>
      </c>
      <c r="F150" s="6" t="s">
        <v>1265</v>
      </c>
      <c r="G150" s="1" t="s">
        <v>843</v>
      </c>
      <c r="H150" s="6" t="s">
        <v>1291</v>
      </c>
      <c r="I150" s="1" t="s">
        <v>8</v>
      </c>
      <c r="J150" s="6"/>
      <c r="L150" s="6" t="s">
        <v>5</v>
      </c>
      <c r="M150" s="6">
        <v>135</v>
      </c>
      <c r="N150" s="6"/>
      <c r="O150" s="6"/>
      <c r="T150" s="1" t="s">
        <v>793</v>
      </c>
    </row>
    <row r="151" spans="1:20" ht="15.6">
      <c r="A151" s="6" t="s">
        <v>1292</v>
      </c>
      <c r="B151" s="1" t="s">
        <v>269</v>
      </c>
      <c r="C151" s="1" t="s">
        <v>1576</v>
      </c>
      <c r="D151" s="6" t="s">
        <v>1011</v>
      </c>
      <c r="E151" s="6">
        <v>3</v>
      </c>
      <c r="F151" s="1" t="s">
        <v>1263</v>
      </c>
      <c r="G151" s="1" t="s">
        <v>843</v>
      </c>
      <c r="H151" s="6" t="s">
        <v>1293</v>
      </c>
      <c r="I151" s="1" t="s">
        <v>8</v>
      </c>
      <c r="J151" s="6"/>
      <c r="K151" s="1" t="s">
        <v>1345</v>
      </c>
      <c r="L151" s="6" t="s">
        <v>5</v>
      </c>
      <c r="M151" s="6">
        <v>135</v>
      </c>
      <c r="N151" s="6"/>
      <c r="O151" s="6"/>
      <c r="T151" s="1" t="s">
        <v>1325</v>
      </c>
    </row>
    <row r="152" spans="1:20" ht="15.6">
      <c r="A152" s="6" t="s">
        <v>1310</v>
      </c>
      <c r="B152" s="1" t="s">
        <v>269</v>
      </c>
      <c r="C152" s="1" t="s">
        <v>1474</v>
      </c>
      <c r="D152" s="6" t="s">
        <v>790</v>
      </c>
      <c r="E152" s="6">
        <v>4</v>
      </c>
      <c r="F152" s="1" t="s">
        <v>1263</v>
      </c>
      <c r="G152" s="1" t="s">
        <v>843</v>
      </c>
      <c r="H152" s="6" t="s">
        <v>1311</v>
      </c>
      <c r="I152" s="1" t="s">
        <v>8</v>
      </c>
      <c r="J152" s="6"/>
      <c r="L152" s="6" t="s">
        <v>5</v>
      </c>
      <c r="M152" s="6">
        <v>198</v>
      </c>
      <c r="N152" s="6"/>
      <c r="O152" s="6"/>
      <c r="T152" s="1" t="s">
        <v>706</v>
      </c>
    </row>
    <row r="153" spans="1:20" ht="15.6">
      <c r="A153" s="6" t="s">
        <v>1312</v>
      </c>
      <c r="B153" s="1" t="s">
        <v>269</v>
      </c>
      <c r="C153" s="1" t="s">
        <v>1477</v>
      </c>
      <c r="D153" s="6" t="s">
        <v>1011</v>
      </c>
      <c r="E153" s="6">
        <v>6</v>
      </c>
      <c r="F153" s="1" t="s">
        <v>1263</v>
      </c>
      <c r="G153" s="1" t="s">
        <v>843</v>
      </c>
      <c r="H153" s="6" t="s">
        <v>1313</v>
      </c>
      <c r="I153" s="1" t="s">
        <v>8</v>
      </c>
      <c r="J153" s="6"/>
      <c r="K153" s="1" t="s">
        <v>1345</v>
      </c>
      <c r="L153" s="6" t="s">
        <v>5</v>
      </c>
      <c r="M153" s="6">
        <v>183</v>
      </c>
      <c r="N153" s="6"/>
      <c r="O153" s="6"/>
      <c r="T153" s="1" t="s">
        <v>706</v>
      </c>
    </row>
    <row r="154" spans="1:20" ht="15.6">
      <c r="A154" s="6" t="s">
        <v>1426</v>
      </c>
      <c r="B154" s="1" t="s">
        <v>269</v>
      </c>
      <c r="C154" s="1" t="s">
        <v>1477</v>
      </c>
      <c r="D154" s="6" t="s">
        <v>1011</v>
      </c>
      <c r="E154" s="6">
        <v>4</v>
      </c>
      <c r="F154" s="1" t="s">
        <v>1263</v>
      </c>
      <c r="G154" s="1" t="s">
        <v>843</v>
      </c>
      <c r="H154" s="6" t="s">
        <v>1313</v>
      </c>
      <c r="I154" s="1" t="s">
        <v>8</v>
      </c>
      <c r="J154" s="6"/>
      <c r="K154" s="1" t="s">
        <v>1345</v>
      </c>
      <c r="L154" s="6" t="s">
        <v>5</v>
      </c>
      <c r="M154" s="6">
        <v>197</v>
      </c>
      <c r="N154" s="6"/>
      <c r="O154" s="6"/>
      <c r="T154" s="6" t="s">
        <v>711</v>
      </c>
    </row>
    <row r="155" spans="1:20" ht="15.6">
      <c r="A155" s="6" t="s">
        <v>1316</v>
      </c>
      <c r="B155" s="1" t="s">
        <v>269</v>
      </c>
      <c r="C155" s="1" t="s">
        <v>1475</v>
      </c>
      <c r="D155" s="6" t="s">
        <v>795</v>
      </c>
      <c r="E155" s="6">
        <v>5</v>
      </c>
      <c r="F155" s="6" t="s">
        <v>1265</v>
      </c>
      <c r="G155" s="1" t="s">
        <v>843</v>
      </c>
      <c r="H155" s="6" t="s">
        <v>1314</v>
      </c>
      <c r="I155" s="1" t="s">
        <v>8</v>
      </c>
      <c r="J155" s="6"/>
      <c r="K155" s="1" t="s">
        <v>1345</v>
      </c>
      <c r="L155" s="6" t="s">
        <v>5</v>
      </c>
      <c r="M155" s="6">
        <v>208</v>
      </c>
      <c r="N155" s="6"/>
      <c r="O155" s="6"/>
      <c r="T155" s="1" t="s">
        <v>706</v>
      </c>
    </row>
    <row r="156" spans="1:20" ht="15.6">
      <c r="A156" s="6" t="s">
        <v>1315</v>
      </c>
      <c r="B156" s="1" t="s">
        <v>269</v>
      </c>
      <c r="C156" s="1" t="s">
        <v>1475</v>
      </c>
      <c r="D156" s="6" t="s">
        <v>795</v>
      </c>
      <c r="E156" s="6">
        <v>4</v>
      </c>
      <c r="F156" s="6" t="s">
        <v>1265</v>
      </c>
      <c r="G156" s="1" t="s">
        <v>843</v>
      </c>
      <c r="H156" s="6" t="s">
        <v>1314</v>
      </c>
      <c r="I156" s="1" t="s">
        <v>8</v>
      </c>
      <c r="J156" s="6"/>
      <c r="K156" s="1" t="s">
        <v>1345</v>
      </c>
      <c r="L156" s="6" t="s">
        <v>5</v>
      </c>
      <c r="M156" s="6">
        <v>174</v>
      </c>
      <c r="N156" s="6"/>
      <c r="O156" s="6"/>
      <c r="T156" s="1" t="s">
        <v>706</v>
      </c>
    </row>
    <row r="157" spans="1:20" ht="15.6">
      <c r="A157" s="6" t="s">
        <v>1317</v>
      </c>
      <c r="B157" s="1" t="s">
        <v>269</v>
      </c>
      <c r="C157" s="1" t="s">
        <v>1574</v>
      </c>
      <c r="D157" s="6" t="s">
        <v>818</v>
      </c>
      <c r="E157" s="6">
        <v>2</v>
      </c>
      <c r="F157" s="6" t="s">
        <v>1265</v>
      </c>
      <c r="G157" s="1" t="s">
        <v>843</v>
      </c>
      <c r="H157" s="6" t="s">
        <v>1322</v>
      </c>
      <c r="I157" s="1" t="s">
        <v>8</v>
      </c>
      <c r="J157" s="6"/>
      <c r="K157" s="1" t="s">
        <v>1345</v>
      </c>
      <c r="L157" s="6" t="s">
        <v>5</v>
      </c>
      <c r="M157" s="6">
        <v>39</v>
      </c>
      <c r="N157" s="6"/>
      <c r="O157" s="6"/>
      <c r="T157" s="6" t="s">
        <v>1318</v>
      </c>
    </row>
    <row r="158" spans="1:20" ht="15.6">
      <c r="A158" s="6" t="s">
        <v>1413</v>
      </c>
      <c r="B158" s="1" t="s">
        <v>1414</v>
      </c>
      <c r="C158" s="1" t="s">
        <v>1475</v>
      </c>
      <c r="D158" s="6" t="s">
        <v>790</v>
      </c>
      <c r="E158" s="6">
        <v>1</v>
      </c>
      <c r="F158" s="6" t="s">
        <v>1265</v>
      </c>
      <c r="G158" s="1" t="s">
        <v>843</v>
      </c>
      <c r="H158" s="6" t="s">
        <v>1415</v>
      </c>
      <c r="I158" s="1" t="s">
        <v>29</v>
      </c>
      <c r="J158" s="6"/>
      <c r="L158" s="6" t="s">
        <v>319</v>
      </c>
      <c r="M158" s="6">
        <v>13</v>
      </c>
      <c r="N158" s="6"/>
      <c r="O158" s="6"/>
      <c r="T158" s="6" t="s">
        <v>1416</v>
      </c>
    </row>
    <row r="159" spans="1:20" ht="15.6">
      <c r="A159" s="6" t="s">
        <v>1420</v>
      </c>
      <c r="B159" s="1" t="s">
        <v>269</v>
      </c>
      <c r="C159" s="1" t="s">
        <v>1481</v>
      </c>
      <c r="D159" s="6" t="s">
        <v>790</v>
      </c>
      <c r="E159" s="6">
        <v>1</v>
      </c>
      <c r="F159" s="6" t="s">
        <v>1264</v>
      </c>
      <c r="G159" s="1" t="s">
        <v>843</v>
      </c>
      <c r="H159" s="6" t="s">
        <v>1421</v>
      </c>
      <c r="I159" s="1" t="s">
        <v>8</v>
      </c>
      <c r="J159" s="6"/>
      <c r="L159" s="6" t="s">
        <v>319</v>
      </c>
      <c r="M159" s="6">
        <v>17</v>
      </c>
      <c r="N159" s="6"/>
      <c r="O159" s="6"/>
      <c r="T159" s="6" t="s">
        <v>711</v>
      </c>
    </row>
    <row r="160" spans="1:20" ht="15.6">
      <c r="A160" s="6" t="s">
        <v>1433</v>
      </c>
      <c r="B160" s="1" t="s">
        <v>269</v>
      </c>
      <c r="C160" s="1" t="s">
        <v>1475</v>
      </c>
      <c r="D160" s="6" t="s">
        <v>790</v>
      </c>
      <c r="E160" s="6">
        <v>10</v>
      </c>
      <c r="F160" s="6" t="s">
        <v>1265</v>
      </c>
      <c r="G160" s="1" t="s">
        <v>843</v>
      </c>
      <c r="H160" s="6" t="s">
        <v>1434</v>
      </c>
      <c r="I160" s="1" t="s">
        <v>8</v>
      </c>
      <c r="J160" s="6"/>
      <c r="L160" s="6" t="s">
        <v>319</v>
      </c>
      <c r="M160" s="6">
        <v>192</v>
      </c>
      <c r="N160" s="6"/>
      <c r="O160" s="6"/>
      <c r="T160" s="6" t="s">
        <v>711</v>
      </c>
    </row>
    <row r="161" spans="1:20" ht="15.6">
      <c r="A161" s="6" t="s">
        <v>1472</v>
      </c>
      <c r="B161" s="1" t="s">
        <v>269</v>
      </c>
      <c r="C161" s="1" t="s">
        <v>1479</v>
      </c>
      <c r="D161" s="6" t="s">
        <v>1423</v>
      </c>
      <c r="E161" s="6">
        <v>2</v>
      </c>
      <c r="F161" s="1" t="s">
        <v>1263</v>
      </c>
      <c r="G161" s="1" t="s">
        <v>843</v>
      </c>
      <c r="H161" s="6" t="s">
        <v>1434</v>
      </c>
      <c r="I161" s="1" t="s">
        <v>8</v>
      </c>
      <c r="J161" s="6"/>
      <c r="K161" s="1"/>
      <c r="L161" s="6" t="s">
        <v>319</v>
      </c>
      <c r="M161" s="6">
        <v>190</v>
      </c>
      <c r="N161" s="6"/>
      <c r="O161" s="6"/>
      <c r="T161" t="s">
        <v>1006</v>
      </c>
    </row>
    <row r="162" spans="1:20" ht="15.6">
      <c r="A162" s="6" t="s">
        <v>1500</v>
      </c>
      <c r="B162" s="1" t="s">
        <v>269</v>
      </c>
      <c r="C162" s="1" t="s">
        <v>1475</v>
      </c>
      <c r="D162" s="6" t="s">
        <v>790</v>
      </c>
      <c r="E162" s="6">
        <v>1</v>
      </c>
      <c r="F162" s="6" t="s">
        <v>1265</v>
      </c>
      <c r="G162" s="1" t="s">
        <v>843</v>
      </c>
      <c r="H162" s="6" t="s">
        <v>1501</v>
      </c>
      <c r="I162" s="1" t="s">
        <v>8</v>
      </c>
      <c r="J162" s="6"/>
      <c r="L162" s="6" t="s">
        <v>319</v>
      </c>
      <c r="M162" s="6">
        <v>26</v>
      </c>
      <c r="N162" s="6"/>
      <c r="O162" s="6"/>
      <c r="T162" s="6" t="s">
        <v>711</v>
      </c>
    </row>
    <row r="163" spans="1:20" ht="15.6">
      <c r="A163" s="6" t="s">
        <v>1463</v>
      </c>
      <c r="B163" s="1" t="s">
        <v>269</v>
      </c>
      <c r="C163" s="1" t="s">
        <v>1477</v>
      </c>
      <c r="D163" s="6" t="s">
        <v>790</v>
      </c>
      <c r="E163" s="6">
        <v>13</v>
      </c>
      <c r="F163" s="1" t="s">
        <v>1263</v>
      </c>
      <c r="G163" s="1" t="s">
        <v>843</v>
      </c>
      <c r="H163" s="6" t="s">
        <v>1476</v>
      </c>
      <c r="I163" s="1" t="s">
        <v>8</v>
      </c>
      <c r="J163" s="6"/>
      <c r="K163" s="1" t="s">
        <v>1345</v>
      </c>
      <c r="L163" s="6" t="s">
        <v>319</v>
      </c>
      <c r="M163" s="6">
        <v>645</v>
      </c>
      <c r="N163" s="6"/>
      <c r="O163" s="6"/>
      <c r="T163" s="6" t="s">
        <v>711</v>
      </c>
    </row>
    <row r="164" spans="1:20" ht="15.6">
      <c r="A164" s="6" t="s">
        <v>1464</v>
      </c>
      <c r="B164" s="1" t="s">
        <v>269</v>
      </c>
      <c r="C164" s="1" t="s">
        <v>1474</v>
      </c>
      <c r="D164" s="6" t="s">
        <v>790</v>
      </c>
      <c r="E164" s="6">
        <v>14</v>
      </c>
      <c r="F164" s="6" t="s">
        <v>1265</v>
      </c>
      <c r="G164" s="1" t="s">
        <v>843</v>
      </c>
      <c r="H164" s="6" t="s">
        <v>1473</v>
      </c>
      <c r="I164" s="1" t="s">
        <v>8</v>
      </c>
      <c r="J164" s="6"/>
      <c r="K164" s="1"/>
      <c r="L164" s="6" t="s">
        <v>319</v>
      </c>
      <c r="M164" s="6">
        <v>226</v>
      </c>
      <c r="N164" s="6"/>
      <c r="O164" s="6"/>
      <c r="T164" s="1" t="s">
        <v>1470</v>
      </c>
    </row>
    <row r="165" spans="1:20" ht="15.6">
      <c r="A165" s="6" t="s">
        <v>1511</v>
      </c>
      <c r="B165" s="1" t="s">
        <v>269</v>
      </c>
      <c r="C165" s="1" t="s">
        <v>1475</v>
      </c>
      <c r="D165" s="6" t="s">
        <v>790</v>
      </c>
      <c r="E165" s="6">
        <v>2</v>
      </c>
      <c r="F165" s="1" t="s">
        <v>1263</v>
      </c>
      <c r="G165" s="1" t="s">
        <v>843</v>
      </c>
      <c r="H165" s="1" t="s">
        <v>1512</v>
      </c>
      <c r="I165" s="1" t="s">
        <v>8</v>
      </c>
      <c r="L165" s="6" t="s">
        <v>319</v>
      </c>
      <c r="M165" s="6">
        <v>70</v>
      </c>
      <c r="N165" s="6"/>
      <c r="O165" s="6"/>
      <c r="T165" s="6" t="s">
        <v>711</v>
      </c>
    </row>
    <row r="166" spans="1:20" ht="15.6">
      <c r="A166" s="6" t="s">
        <v>1513</v>
      </c>
      <c r="B166" s="1" t="s">
        <v>269</v>
      </c>
      <c r="C166" s="1" t="s">
        <v>1477</v>
      </c>
      <c r="D166" s="6" t="s">
        <v>790</v>
      </c>
      <c r="E166" s="6">
        <v>5</v>
      </c>
      <c r="F166" s="6" t="s">
        <v>1265</v>
      </c>
      <c r="G166" s="1" t="s">
        <v>843</v>
      </c>
      <c r="H166" s="6" t="s">
        <v>1514</v>
      </c>
      <c r="I166" s="1" t="s">
        <v>8</v>
      </c>
      <c r="J166" s="6"/>
      <c r="L166" s="6" t="s">
        <v>319</v>
      </c>
      <c r="M166" s="6">
        <v>85</v>
      </c>
      <c r="N166" s="6"/>
      <c r="O166" s="6"/>
      <c r="T166" s="6" t="s">
        <v>711</v>
      </c>
    </row>
    <row r="167" spans="1:20" ht="15.6">
      <c r="A167" s="6" t="s">
        <v>1520</v>
      </c>
      <c r="B167" s="1" t="s">
        <v>269</v>
      </c>
      <c r="C167" s="1" t="s">
        <v>1479</v>
      </c>
      <c r="D167" s="6" t="s">
        <v>1423</v>
      </c>
      <c r="E167" s="6">
        <v>3</v>
      </c>
      <c r="F167" s="6" t="s">
        <v>1265</v>
      </c>
      <c r="G167" s="1" t="s">
        <v>843</v>
      </c>
      <c r="H167" s="6" t="s">
        <v>1519</v>
      </c>
      <c r="I167" s="1" t="s">
        <v>8</v>
      </c>
      <c r="J167" s="6"/>
      <c r="L167" s="6" t="s">
        <v>319</v>
      </c>
      <c r="M167" s="6">
        <v>84</v>
      </c>
      <c r="N167" s="6"/>
      <c r="O167" s="6"/>
      <c r="T167" s="6" t="s">
        <v>711</v>
      </c>
    </row>
    <row r="168" spans="1:20" ht="15.6">
      <c r="A168" s="6" t="s">
        <v>1523</v>
      </c>
      <c r="B168" s="1" t="s">
        <v>269</v>
      </c>
      <c r="C168" s="1" t="s">
        <v>1477</v>
      </c>
      <c r="D168" s="6" t="s">
        <v>790</v>
      </c>
      <c r="E168" s="6">
        <v>4</v>
      </c>
      <c r="F168" s="1" t="s">
        <v>1263</v>
      </c>
      <c r="G168" s="1" t="s">
        <v>843</v>
      </c>
      <c r="H168" s="6" t="s">
        <v>1524</v>
      </c>
      <c r="I168" s="1" t="s">
        <v>8</v>
      </c>
      <c r="J168" s="6"/>
      <c r="L168" s="6" t="s">
        <v>319</v>
      </c>
      <c r="M168" s="6">
        <v>84</v>
      </c>
      <c r="N168" s="6"/>
      <c r="O168" s="6"/>
      <c r="T168" s="6" t="s">
        <v>711</v>
      </c>
    </row>
    <row r="169" spans="1:20" ht="15.6">
      <c r="A169" s="6" t="s">
        <v>1635</v>
      </c>
      <c r="B169" s="1" t="s">
        <v>269</v>
      </c>
      <c r="C169" s="1" t="s">
        <v>1475</v>
      </c>
      <c r="D169" s="6" t="s">
        <v>795</v>
      </c>
      <c r="E169" s="6">
        <v>7</v>
      </c>
      <c r="F169" s="1" t="s">
        <v>1263</v>
      </c>
      <c r="G169" s="1" t="s">
        <v>843</v>
      </c>
      <c r="H169" s="6" t="s">
        <v>1539</v>
      </c>
      <c r="I169" s="1" t="s">
        <v>8</v>
      </c>
      <c r="J169" s="6" t="s">
        <v>1503</v>
      </c>
      <c r="L169" s="6" t="s">
        <v>319</v>
      </c>
      <c r="M169" s="6">
        <v>349</v>
      </c>
      <c r="N169" s="6"/>
      <c r="O169" s="6"/>
      <c r="T169" s="6"/>
    </row>
    <row r="170" spans="1:20" ht="15.6" hidden="1">
      <c r="A170" s="6" t="s">
        <v>1616</v>
      </c>
      <c r="B170" s="1" t="s">
        <v>269</v>
      </c>
      <c r="C170" s="1" t="s">
        <v>1475</v>
      </c>
      <c r="D170" s="6" t="s">
        <v>795</v>
      </c>
      <c r="E170" s="6">
        <v>1</v>
      </c>
      <c r="F170" s="1" t="s">
        <v>1263</v>
      </c>
      <c r="G170" s="1" t="s">
        <v>843</v>
      </c>
      <c r="H170" s="6" t="s">
        <v>1539</v>
      </c>
      <c r="I170" s="1" t="s">
        <v>8</v>
      </c>
      <c r="J170" s="6" t="s">
        <v>1503</v>
      </c>
      <c r="L170" s="6" t="s">
        <v>319</v>
      </c>
      <c r="T170" s="6" t="s">
        <v>1629</v>
      </c>
    </row>
    <row r="171" spans="1:20" ht="15.6" hidden="1">
      <c r="A171" s="6" t="s">
        <v>1541</v>
      </c>
      <c r="B171" s="1" t="s">
        <v>269</v>
      </c>
      <c r="C171" s="1" t="s">
        <v>1475</v>
      </c>
      <c r="D171" s="6" t="s">
        <v>795</v>
      </c>
      <c r="E171" s="6">
        <v>1</v>
      </c>
      <c r="F171" s="1" t="s">
        <v>1263</v>
      </c>
      <c r="G171" s="1" t="s">
        <v>843</v>
      </c>
      <c r="H171" s="6" t="s">
        <v>1539</v>
      </c>
      <c r="I171" s="1" t="s">
        <v>8</v>
      </c>
      <c r="J171" s="6" t="s">
        <v>1503</v>
      </c>
      <c r="L171" s="6" t="s">
        <v>319</v>
      </c>
      <c r="T171" s="6" t="s">
        <v>1630</v>
      </c>
    </row>
    <row r="172" spans="1:20" ht="15.6" hidden="1">
      <c r="A172" s="6" t="s">
        <v>1617</v>
      </c>
      <c r="B172" s="1" t="s">
        <v>269</v>
      </c>
      <c r="C172" s="1" t="s">
        <v>1475</v>
      </c>
      <c r="D172" s="6" t="s">
        <v>795</v>
      </c>
      <c r="E172" s="6">
        <v>1</v>
      </c>
      <c r="F172" s="1" t="s">
        <v>1263</v>
      </c>
      <c r="G172" s="1" t="s">
        <v>843</v>
      </c>
      <c r="H172" s="6" t="s">
        <v>1539</v>
      </c>
      <c r="I172" s="1" t="s">
        <v>8</v>
      </c>
      <c r="J172" s="6" t="s">
        <v>1503</v>
      </c>
      <c r="L172" s="6" t="s">
        <v>319</v>
      </c>
      <c r="T172" s="6" t="s">
        <v>1631</v>
      </c>
    </row>
    <row r="173" spans="1:20" ht="15.6" hidden="1">
      <c r="A173" s="6" t="s">
        <v>1618</v>
      </c>
      <c r="B173" s="1" t="s">
        <v>269</v>
      </c>
      <c r="C173" s="1" t="s">
        <v>1475</v>
      </c>
      <c r="D173" s="6" t="s">
        <v>795</v>
      </c>
      <c r="E173" s="6">
        <v>1</v>
      </c>
      <c r="F173" s="1" t="s">
        <v>1263</v>
      </c>
      <c r="G173" s="1" t="s">
        <v>843</v>
      </c>
      <c r="H173" s="6" t="s">
        <v>1539</v>
      </c>
      <c r="I173" s="1" t="s">
        <v>8</v>
      </c>
      <c r="J173" s="6" t="s">
        <v>1503</v>
      </c>
      <c r="L173" s="6" t="s">
        <v>319</v>
      </c>
      <c r="T173" s="6" t="s">
        <v>1632</v>
      </c>
    </row>
    <row r="174" spans="1:20" ht="15.6" hidden="1">
      <c r="A174" s="6" t="s">
        <v>1569</v>
      </c>
      <c r="B174" s="1" t="s">
        <v>269</v>
      </c>
      <c r="C174" s="1" t="s">
        <v>1475</v>
      </c>
      <c r="D174" s="6" t="s">
        <v>795</v>
      </c>
      <c r="E174" s="6">
        <v>1</v>
      </c>
      <c r="F174" s="1" t="s">
        <v>1263</v>
      </c>
      <c r="G174" s="1" t="s">
        <v>843</v>
      </c>
      <c r="H174" s="6" t="s">
        <v>1539</v>
      </c>
      <c r="I174" s="1" t="s">
        <v>8</v>
      </c>
      <c r="J174" s="6" t="s">
        <v>1503</v>
      </c>
      <c r="L174" s="6" t="s">
        <v>319</v>
      </c>
      <c r="T174" s="6" t="s">
        <v>1489</v>
      </c>
    </row>
    <row r="175" spans="1:20" ht="15.6" hidden="1">
      <c r="A175" s="6" t="s">
        <v>1540</v>
      </c>
      <c r="B175" s="1" t="s">
        <v>269</v>
      </c>
      <c r="C175" s="1" t="s">
        <v>1475</v>
      </c>
      <c r="D175" s="6" t="s">
        <v>795</v>
      </c>
      <c r="E175" s="6">
        <v>1</v>
      </c>
      <c r="F175" s="1" t="s">
        <v>1263</v>
      </c>
      <c r="G175" s="1" t="s">
        <v>843</v>
      </c>
      <c r="H175" s="6" t="s">
        <v>1539</v>
      </c>
      <c r="I175" s="1" t="s">
        <v>8</v>
      </c>
      <c r="J175" s="6" t="s">
        <v>1503</v>
      </c>
      <c r="L175" s="6" t="s">
        <v>319</v>
      </c>
      <c r="T175" s="6" t="s">
        <v>1633</v>
      </c>
    </row>
    <row r="176" spans="1:20" ht="15.6" hidden="1">
      <c r="A176" s="6" t="s">
        <v>1568</v>
      </c>
      <c r="B176" s="1" t="s">
        <v>269</v>
      </c>
      <c r="C176" s="1" t="s">
        <v>1475</v>
      </c>
      <c r="D176" s="6" t="s">
        <v>795</v>
      </c>
      <c r="E176" s="6">
        <v>1</v>
      </c>
      <c r="F176" s="1" t="s">
        <v>1263</v>
      </c>
      <c r="G176" s="1" t="s">
        <v>843</v>
      </c>
      <c r="H176" s="6" t="s">
        <v>1539</v>
      </c>
      <c r="I176" s="1" t="s">
        <v>8</v>
      </c>
      <c r="J176" s="6" t="s">
        <v>1503</v>
      </c>
      <c r="L176" s="6" t="s">
        <v>319</v>
      </c>
      <c r="T176" s="6" t="s">
        <v>1634</v>
      </c>
    </row>
    <row r="177" spans="1:20" ht="15.6">
      <c r="A177" s="6" t="s">
        <v>1555</v>
      </c>
      <c r="B177" s="1" t="s">
        <v>269</v>
      </c>
      <c r="C177" s="1" t="s">
        <v>1479</v>
      </c>
      <c r="D177" s="6" t="s">
        <v>1536</v>
      </c>
      <c r="E177" s="6">
        <v>1</v>
      </c>
      <c r="F177" s="1" t="s">
        <v>1263</v>
      </c>
      <c r="G177" s="1" t="s">
        <v>843</v>
      </c>
      <c r="H177" s="6" t="s">
        <v>1556</v>
      </c>
      <c r="I177" s="1" t="s">
        <v>8</v>
      </c>
      <c r="J177" s="6"/>
      <c r="L177" s="6" t="s">
        <v>319</v>
      </c>
      <c r="M177" s="6">
        <v>79</v>
      </c>
      <c r="N177" s="6"/>
      <c r="O177" s="6"/>
      <c r="T177" s="6" t="s">
        <v>711</v>
      </c>
    </row>
    <row r="178" spans="1:20" ht="15.6">
      <c r="A178" s="6" t="s">
        <v>1571</v>
      </c>
      <c r="B178" s="1" t="s">
        <v>269</v>
      </c>
      <c r="C178" s="1" t="s">
        <v>1477</v>
      </c>
      <c r="D178" s="6" t="s">
        <v>790</v>
      </c>
      <c r="E178" s="6">
        <v>10</v>
      </c>
      <c r="F178" s="1" t="s">
        <v>1263</v>
      </c>
      <c r="G178" s="1" t="s">
        <v>844</v>
      </c>
      <c r="H178" s="6" t="s">
        <v>1572</v>
      </c>
      <c r="I178" s="1" t="s">
        <v>8</v>
      </c>
      <c r="J178" s="6"/>
      <c r="K178" s="1" t="s">
        <v>1345</v>
      </c>
      <c r="L178" s="6" t="s">
        <v>319</v>
      </c>
      <c r="M178" s="6">
        <v>602</v>
      </c>
      <c r="N178" s="6"/>
      <c r="O178" s="6"/>
      <c r="T178" s="6" t="s">
        <v>1411</v>
      </c>
    </row>
    <row r="179" spans="1:20" ht="15.6">
      <c r="A179" s="6" t="s">
        <v>1580</v>
      </c>
      <c r="B179" s="1" t="s">
        <v>269</v>
      </c>
      <c r="C179" s="1" t="s">
        <v>1579</v>
      </c>
      <c r="D179" s="6" t="s">
        <v>790</v>
      </c>
      <c r="E179" s="6">
        <v>28</v>
      </c>
      <c r="F179" s="1" t="s">
        <v>1265</v>
      </c>
      <c r="G179" s="1" t="s">
        <v>843</v>
      </c>
      <c r="H179" s="6" t="s">
        <v>1581</v>
      </c>
      <c r="I179" s="1" t="s">
        <v>8</v>
      </c>
      <c r="J179" s="6"/>
      <c r="L179" s="6" t="s">
        <v>319</v>
      </c>
      <c r="M179" s="6">
        <v>828</v>
      </c>
      <c r="N179" s="6"/>
      <c r="O179" s="6"/>
      <c r="T179" s="6" t="s">
        <v>1612</v>
      </c>
    </row>
    <row r="180" spans="1:20" ht="15.6">
      <c r="A180" s="6" t="s">
        <v>1580</v>
      </c>
      <c r="B180" s="1" t="s">
        <v>269</v>
      </c>
      <c r="C180" s="1" t="s">
        <v>1579</v>
      </c>
      <c r="D180" s="6" t="s">
        <v>790</v>
      </c>
      <c r="E180" s="6">
        <v>28</v>
      </c>
      <c r="F180" s="1" t="s">
        <v>1265</v>
      </c>
      <c r="G180" s="1" t="s">
        <v>843</v>
      </c>
      <c r="H180" s="6" t="s">
        <v>1581</v>
      </c>
      <c r="I180" s="1" t="s">
        <v>8</v>
      </c>
      <c r="J180" s="6"/>
      <c r="L180" s="6" t="s">
        <v>319</v>
      </c>
      <c r="M180" s="6">
        <v>753</v>
      </c>
      <c r="N180" s="6"/>
      <c r="O180" s="6"/>
      <c r="T180" s="6" t="s">
        <v>1759</v>
      </c>
    </row>
    <row r="181" spans="1:20" ht="15.6">
      <c r="A181" s="6" t="s">
        <v>1580</v>
      </c>
      <c r="B181" s="1" t="s">
        <v>269</v>
      </c>
      <c r="C181" s="1" t="s">
        <v>1579</v>
      </c>
      <c r="D181" s="6" t="s">
        <v>790</v>
      </c>
      <c r="E181" s="6">
        <v>28</v>
      </c>
      <c r="F181" s="1" t="s">
        <v>1265</v>
      </c>
      <c r="G181" s="1" t="s">
        <v>843</v>
      </c>
      <c r="H181" s="6" t="s">
        <v>1581</v>
      </c>
      <c r="I181" s="1" t="s">
        <v>8</v>
      </c>
      <c r="J181" s="6"/>
      <c r="L181" s="6" t="s">
        <v>319</v>
      </c>
      <c r="M181" s="6">
        <v>202</v>
      </c>
      <c r="N181" s="6"/>
      <c r="O181" s="6"/>
      <c r="T181" s="6" t="s">
        <v>1771</v>
      </c>
    </row>
    <row r="182" spans="1:20" ht="15.6">
      <c r="A182" s="6" t="s">
        <v>1699</v>
      </c>
      <c r="B182" s="1" t="s">
        <v>269</v>
      </c>
      <c r="C182" s="1" t="s">
        <v>1579</v>
      </c>
      <c r="D182" s="6" t="s">
        <v>790</v>
      </c>
      <c r="E182" s="6">
        <v>1</v>
      </c>
      <c r="F182" s="1" t="s">
        <v>1265</v>
      </c>
      <c r="G182" s="1" t="s">
        <v>843</v>
      </c>
      <c r="H182" s="6" t="s">
        <v>1581</v>
      </c>
      <c r="I182" s="1" t="s">
        <v>8</v>
      </c>
      <c r="J182" s="6"/>
      <c r="L182" s="6" t="s">
        <v>319</v>
      </c>
      <c r="M182" s="6">
        <v>36</v>
      </c>
      <c r="N182" s="6"/>
      <c r="O182" s="6"/>
      <c r="T182" s="6" t="s">
        <v>793</v>
      </c>
    </row>
    <row r="183" spans="1:20" ht="15.6">
      <c r="A183" s="6" t="s">
        <v>1584</v>
      </c>
      <c r="B183" s="1" t="s">
        <v>269</v>
      </c>
      <c r="C183" s="1" t="s">
        <v>1579</v>
      </c>
      <c r="D183" s="6" t="s">
        <v>790</v>
      </c>
      <c r="E183" s="6">
        <v>8</v>
      </c>
      <c r="F183" s="1" t="s">
        <v>1265</v>
      </c>
      <c r="G183" s="1" t="s">
        <v>843</v>
      </c>
      <c r="H183" s="6" t="s">
        <v>1602</v>
      </c>
      <c r="I183" s="1" t="s">
        <v>8</v>
      </c>
      <c r="J183" s="6"/>
      <c r="K183" s="1" t="s">
        <v>1345</v>
      </c>
      <c r="L183" s="6" t="s">
        <v>319</v>
      </c>
      <c r="M183" s="6">
        <v>474</v>
      </c>
      <c r="N183" s="6"/>
      <c r="O183" s="6"/>
      <c r="T183" s="6" t="s">
        <v>1606</v>
      </c>
    </row>
    <row r="184" spans="1:20" ht="15.6">
      <c r="A184" s="6" t="s">
        <v>1627</v>
      </c>
      <c r="B184" s="1" t="s">
        <v>269</v>
      </c>
      <c r="C184" s="1" t="s">
        <v>1475</v>
      </c>
      <c r="D184" s="6" t="s">
        <v>790</v>
      </c>
      <c r="E184" s="6">
        <v>15</v>
      </c>
      <c r="F184" s="1" t="s">
        <v>1265</v>
      </c>
      <c r="G184" s="1" t="s">
        <v>843</v>
      </c>
      <c r="H184" s="6" t="s">
        <v>1628</v>
      </c>
      <c r="I184" s="1" t="s">
        <v>8</v>
      </c>
      <c r="J184" s="6"/>
      <c r="L184" s="6" t="s">
        <v>319</v>
      </c>
      <c r="M184" s="6">
        <v>478</v>
      </c>
      <c r="N184" s="6"/>
      <c r="O184" s="6"/>
      <c r="T184" s="6" t="s">
        <v>1641</v>
      </c>
    </row>
    <row r="185" spans="1:20" ht="15.6">
      <c r="A185" s="6" t="s">
        <v>1242</v>
      </c>
      <c r="B185" s="1" t="s">
        <v>269</v>
      </c>
      <c r="C185" s="1" t="s">
        <v>1475</v>
      </c>
      <c r="D185" s="6" t="s">
        <v>790</v>
      </c>
      <c r="E185" s="6">
        <v>8</v>
      </c>
      <c r="F185" s="1" t="s">
        <v>1263</v>
      </c>
      <c r="G185" s="1" t="s">
        <v>843</v>
      </c>
      <c r="H185" s="6" t="s">
        <v>1198</v>
      </c>
      <c r="I185" s="1" t="s">
        <v>8</v>
      </c>
      <c r="J185" s="6" t="s">
        <v>1503</v>
      </c>
      <c r="L185" s="6" t="s">
        <v>319</v>
      </c>
      <c r="M185" s="6">
        <v>779</v>
      </c>
      <c r="N185" s="6"/>
      <c r="O185" s="6"/>
      <c r="T185" s="6" t="s">
        <v>1006</v>
      </c>
    </row>
    <row r="186" spans="1:20" ht="15.6">
      <c r="A186" s="6" t="s">
        <v>1644</v>
      </c>
      <c r="B186" s="1" t="s">
        <v>269</v>
      </c>
      <c r="C186" s="1" t="s">
        <v>1475</v>
      </c>
      <c r="D186" s="6" t="s">
        <v>790</v>
      </c>
      <c r="E186" s="6">
        <v>15</v>
      </c>
      <c r="F186" s="1" t="s">
        <v>1265</v>
      </c>
      <c r="G186" s="1" t="s">
        <v>843</v>
      </c>
      <c r="H186" s="6" t="s">
        <v>1648</v>
      </c>
      <c r="I186" s="1" t="s">
        <v>8</v>
      </c>
      <c r="J186" s="6"/>
      <c r="L186" s="6" t="s">
        <v>319</v>
      </c>
      <c r="M186" s="6">
        <v>476</v>
      </c>
      <c r="N186" s="6"/>
      <c r="O186" s="6"/>
      <c r="T186" s="6" t="s">
        <v>1675</v>
      </c>
    </row>
    <row r="187" spans="1:20" ht="15.6">
      <c r="A187" s="6" t="s">
        <v>1698</v>
      </c>
      <c r="B187" s="1" t="s">
        <v>1414</v>
      </c>
      <c r="C187" s="1" t="s">
        <v>1475</v>
      </c>
      <c r="D187" s="6" t="s">
        <v>790</v>
      </c>
      <c r="E187" s="6">
        <v>1</v>
      </c>
      <c r="F187" s="1" t="s">
        <v>1264</v>
      </c>
      <c r="G187" s="1" t="s">
        <v>843</v>
      </c>
      <c r="H187" s="6" t="s">
        <v>1694</v>
      </c>
      <c r="I187" s="1" t="s">
        <v>8</v>
      </c>
      <c r="J187" s="6"/>
      <c r="L187" s="6" t="s">
        <v>319</v>
      </c>
      <c r="M187" s="6">
        <v>52</v>
      </c>
      <c r="N187" s="6"/>
      <c r="O187" s="6"/>
      <c r="T187" s="6" t="s">
        <v>793</v>
      </c>
    </row>
    <row r="188" spans="1:20" ht="15.6">
      <c r="A188" s="6" t="s">
        <v>1697</v>
      </c>
      <c r="B188" s="1" t="s">
        <v>1414</v>
      </c>
      <c r="C188" s="1" t="s">
        <v>1475</v>
      </c>
      <c r="D188" s="6" t="s">
        <v>790</v>
      </c>
      <c r="E188" s="6">
        <v>1</v>
      </c>
      <c r="F188" s="1" t="s">
        <v>1264</v>
      </c>
      <c r="G188" s="1" t="s">
        <v>843</v>
      </c>
      <c r="H188" s="6" t="s">
        <v>1694</v>
      </c>
      <c r="I188" s="1" t="s">
        <v>8</v>
      </c>
      <c r="J188" s="6"/>
      <c r="L188" s="6" t="s">
        <v>319</v>
      </c>
      <c r="M188" s="6">
        <v>52</v>
      </c>
      <c r="N188" s="6"/>
      <c r="O188" s="6"/>
      <c r="T188" s="6" t="s">
        <v>793</v>
      </c>
    </row>
    <row r="189" spans="1:20" ht="15.6">
      <c r="A189" s="6" t="s">
        <v>1710</v>
      </c>
      <c r="B189" s="1" t="s">
        <v>269</v>
      </c>
      <c r="C189" s="1" t="s">
        <v>1579</v>
      </c>
      <c r="D189" s="6" t="s">
        <v>790</v>
      </c>
      <c r="E189" s="6">
        <v>1</v>
      </c>
      <c r="F189" s="1" t="s">
        <v>1265</v>
      </c>
      <c r="G189" s="1" t="s">
        <v>843</v>
      </c>
      <c r="H189" s="6" t="s">
        <v>1711</v>
      </c>
      <c r="I189" s="1" t="s">
        <v>8</v>
      </c>
      <c r="J189" s="6"/>
      <c r="L189" s="6" t="s">
        <v>319</v>
      </c>
      <c r="M189" s="6">
        <v>12</v>
      </c>
      <c r="N189" s="6"/>
      <c r="O189" s="6"/>
      <c r="T189" s="6" t="s">
        <v>711</v>
      </c>
    </row>
    <row r="190" spans="1:20" ht="15.6">
      <c r="A190" s="6" t="s">
        <v>1710</v>
      </c>
      <c r="B190" s="1" t="s">
        <v>269</v>
      </c>
      <c r="C190" s="1" t="s">
        <v>1579</v>
      </c>
      <c r="D190" s="6" t="s">
        <v>790</v>
      </c>
      <c r="E190" s="6">
        <v>1</v>
      </c>
      <c r="F190" s="1" t="s">
        <v>1265</v>
      </c>
      <c r="G190" s="1" t="s">
        <v>843</v>
      </c>
      <c r="H190" s="6" t="s">
        <v>1711</v>
      </c>
      <c r="I190" s="1" t="s">
        <v>8</v>
      </c>
      <c r="J190" s="6"/>
      <c r="L190" s="6" t="s">
        <v>319</v>
      </c>
      <c r="M190" s="6">
        <v>29</v>
      </c>
      <c r="N190" s="6"/>
      <c r="O190" s="6"/>
      <c r="T190" s="6" t="s">
        <v>711</v>
      </c>
    </row>
    <row r="191" spans="1:20" ht="15.6">
      <c r="A191" s="6" t="s">
        <v>1712</v>
      </c>
      <c r="B191" s="1" t="s">
        <v>269</v>
      </c>
      <c r="C191" s="1" t="s">
        <v>1477</v>
      </c>
      <c r="D191" s="6" t="s">
        <v>1011</v>
      </c>
      <c r="E191" s="6">
        <v>4</v>
      </c>
      <c r="F191" s="1" t="s">
        <v>1263</v>
      </c>
      <c r="G191" s="1" t="s">
        <v>843</v>
      </c>
      <c r="H191" s="6" t="s">
        <v>1713</v>
      </c>
      <c r="I191" s="1" t="s">
        <v>8</v>
      </c>
      <c r="J191" s="6"/>
      <c r="K191" s="1" t="s">
        <v>1345</v>
      </c>
      <c r="L191" s="6" t="s">
        <v>319</v>
      </c>
      <c r="M191" s="6">
        <v>170</v>
      </c>
      <c r="N191" s="6"/>
      <c r="O191" s="6"/>
      <c r="T191" s="6" t="s">
        <v>711</v>
      </c>
    </row>
    <row r="192" spans="1:20" ht="15.6">
      <c r="A192" s="6" t="s">
        <v>1498</v>
      </c>
      <c r="B192" s="1" t="s">
        <v>269</v>
      </c>
      <c r="C192" s="1" t="s">
        <v>1477</v>
      </c>
      <c r="D192" s="6" t="s">
        <v>790</v>
      </c>
      <c r="E192" s="6">
        <v>1</v>
      </c>
      <c r="F192" s="1" t="s">
        <v>1263</v>
      </c>
      <c r="G192" s="1" t="s">
        <v>843</v>
      </c>
      <c r="H192" s="6" t="s">
        <v>1497</v>
      </c>
      <c r="I192" s="1" t="s">
        <v>8</v>
      </c>
      <c r="J192" s="6"/>
      <c r="L192" s="6" t="s">
        <v>319</v>
      </c>
      <c r="M192" s="6">
        <v>26</v>
      </c>
      <c r="N192" s="6"/>
      <c r="O192" s="6"/>
      <c r="T192" s="6" t="s">
        <v>711</v>
      </c>
    </row>
    <row r="193" spans="1:21" ht="15.6">
      <c r="A193" s="6" t="s">
        <v>1515</v>
      </c>
      <c r="B193" s="1" t="s">
        <v>269</v>
      </c>
      <c r="C193" s="1" t="s">
        <v>1477</v>
      </c>
      <c r="D193" s="6" t="s">
        <v>790</v>
      </c>
      <c r="E193" s="6">
        <v>1</v>
      </c>
      <c r="F193" s="1" t="s">
        <v>1263</v>
      </c>
      <c r="G193" s="1" t="s">
        <v>843</v>
      </c>
      <c r="H193" s="6" t="s">
        <v>1497</v>
      </c>
      <c r="I193" s="1" t="s">
        <v>8</v>
      </c>
      <c r="J193" s="6"/>
      <c r="L193" s="6" t="s">
        <v>319</v>
      </c>
      <c r="M193" s="6">
        <v>21</v>
      </c>
      <c r="N193" s="6"/>
      <c r="O193" s="6"/>
      <c r="T193" s="6" t="s">
        <v>711</v>
      </c>
    </row>
    <row r="194" spans="1:21" ht="15.6">
      <c r="A194" s="6" t="s">
        <v>1615</v>
      </c>
      <c r="B194" s="1" t="s">
        <v>269</v>
      </c>
      <c r="C194" s="1" t="s">
        <v>1477</v>
      </c>
      <c r="D194" s="6" t="s">
        <v>790</v>
      </c>
      <c r="E194" s="6">
        <v>1</v>
      </c>
      <c r="F194" s="1" t="s">
        <v>1263</v>
      </c>
      <c r="G194" s="1" t="s">
        <v>843</v>
      </c>
      <c r="H194" s="6" t="s">
        <v>1497</v>
      </c>
      <c r="I194" s="1" t="s">
        <v>8</v>
      </c>
      <c r="J194" s="6"/>
      <c r="L194" s="6" t="s">
        <v>319</v>
      </c>
      <c r="M194" s="6">
        <v>40</v>
      </c>
      <c r="N194" s="6"/>
      <c r="O194" s="6"/>
      <c r="T194" s="6" t="s">
        <v>711</v>
      </c>
    </row>
    <row r="195" spans="1:21" ht="15.6">
      <c r="A195" s="6" t="s">
        <v>1721</v>
      </c>
      <c r="B195" s="1" t="s">
        <v>269</v>
      </c>
      <c r="C195" s="1" t="s">
        <v>1475</v>
      </c>
      <c r="D195" s="6" t="s">
        <v>790</v>
      </c>
      <c r="E195" s="6">
        <v>3</v>
      </c>
      <c r="F195" s="1" t="s">
        <v>1265</v>
      </c>
      <c r="G195" s="1" t="s">
        <v>843</v>
      </c>
      <c r="H195" s="6" t="s">
        <v>1722</v>
      </c>
      <c r="I195" s="1" t="s">
        <v>8</v>
      </c>
      <c r="J195" s="6"/>
      <c r="L195" s="6" t="s">
        <v>319</v>
      </c>
      <c r="M195" s="6">
        <v>51</v>
      </c>
      <c r="N195" s="6"/>
      <c r="O195" s="6"/>
      <c r="T195" s="6" t="s">
        <v>711</v>
      </c>
    </row>
    <row r="196" spans="1:21" ht="15.6">
      <c r="A196" s="6" t="s">
        <v>1739</v>
      </c>
      <c r="B196" s="1" t="s">
        <v>1740</v>
      </c>
      <c r="C196" s="1" t="s">
        <v>1598</v>
      </c>
      <c r="D196" s="6" t="s">
        <v>1043</v>
      </c>
      <c r="E196" s="6">
        <v>1</v>
      </c>
      <c r="F196" s="1" t="s">
        <v>1274</v>
      </c>
      <c r="G196" s="1" t="s">
        <v>843</v>
      </c>
      <c r="H196" s="1" t="s">
        <v>1598</v>
      </c>
      <c r="I196" s="1" t="s">
        <v>8</v>
      </c>
      <c r="J196" s="6"/>
      <c r="K196" s="1"/>
      <c r="L196" s="6" t="s">
        <v>319</v>
      </c>
      <c r="M196" s="6">
        <v>43</v>
      </c>
      <c r="N196" s="6"/>
      <c r="O196" s="6"/>
      <c r="T196" s="6" t="s">
        <v>711</v>
      </c>
    </row>
    <row r="197" spans="1:21" ht="15.6">
      <c r="A197" s="6" t="s">
        <v>1666</v>
      </c>
      <c r="B197" s="1" t="s">
        <v>269</v>
      </c>
      <c r="C197" s="1" t="s">
        <v>1475</v>
      </c>
      <c r="D197" s="6" t="s">
        <v>795</v>
      </c>
      <c r="E197" s="6">
        <v>12</v>
      </c>
      <c r="F197" s="6" t="s">
        <v>1265</v>
      </c>
      <c r="G197" s="6" t="s">
        <v>844</v>
      </c>
      <c r="H197" s="1" t="s">
        <v>1179</v>
      </c>
      <c r="I197" s="1" t="s">
        <v>8</v>
      </c>
      <c r="J197" s="6" t="s">
        <v>1503</v>
      </c>
      <c r="L197" s="6" t="s">
        <v>5</v>
      </c>
      <c r="M197" s="6">
        <v>419</v>
      </c>
      <c r="N197" s="6"/>
      <c r="O197" s="6"/>
      <c r="T197" s="6" t="s">
        <v>711</v>
      </c>
    </row>
    <row r="198" spans="1:21" ht="15.6" hidden="1">
      <c r="A198" s="6" t="s">
        <v>1380</v>
      </c>
      <c r="B198" s="1" t="s">
        <v>269</v>
      </c>
      <c r="C198" s="1" t="s">
        <v>1475</v>
      </c>
      <c r="D198" s="6" t="s">
        <v>795</v>
      </c>
      <c r="E198" s="6">
        <v>1</v>
      </c>
      <c r="F198" s="6" t="s">
        <v>1265</v>
      </c>
      <c r="G198" s="6" t="s">
        <v>844</v>
      </c>
      <c r="H198" s="1" t="s">
        <v>1179</v>
      </c>
      <c r="I198" s="1" t="s">
        <v>8</v>
      </c>
      <c r="J198" s="6" t="s">
        <v>1503</v>
      </c>
      <c r="L198" s="6" t="s">
        <v>5</v>
      </c>
      <c r="M198" s="6"/>
      <c r="N198" s="6"/>
      <c r="O198" s="6"/>
      <c r="T198" s="6" t="s">
        <v>1741</v>
      </c>
      <c r="U198" s="6"/>
    </row>
    <row r="199" spans="1:21" ht="15.6" hidden="1">
      <c r="A199" s="6" t="s">
        <v>1392</v>
      </c>
      <c r="B199" s="1" t="s">
        <v>269</v>
      </c>
      <c r="C199" s="1" t="s">
        <v>1475</v>
      </c>
      <c r="D199" s="6" t="s">
        <v>795</v>
      </c>
      <c r="E199" s="6">
        <v>1</v>
      </c>
      <c r="F199" s="6" t="s">
        <v>1265</v>
      </c>
      <c r="G199" s="6" t="s">
        <v>844</v>
      </c>
      <c r="H199" s="1" t="s">
        <v>1179</v>
      </c>
      <c r="I199" s="1" t="s">
        <v>8</v>
      </c>
      <c r="J199" s="6" t="s">
        <v>1503</v>
      </c>
      <c r="L199" s="6" t="s">
        <v>5</v>
      </c>
      <c r="M199" s="6"/>
      <c r="N199" s="6"/>
      <c r="O199" s="6"/>
      <c r="T199" s="6" t="s">
        <v>1454</v>
      </c>
      <c r="U199" s="6"/>
    </row>
    <row r="200" spans="1:21" ht="15.6" hidden="1">
      <c r="A200" s="6" t="s">
        <v>1393</v>
      </c>
      <c r="B200" s="1" t="s">
        <v>269</v>
      </c>
      <c r="C200" s="1" t="s">
        <v>1475</v>
      </c>
      <c r="D200" s="6" t="s">
        <v>795</v>
      </c>
      <c r="E200" s="6">
        <v>1</v>
      </c>
      <c r="F200" s="6" t="s">
        <v>1265</v>
      </c>
      <c r="G200" s="6" t="s">
        <v>844</v>
      </c>
      <c r="H200" s="1" t="s">
        <v>1179</v>
      </c>
      <c r="I200" s="1" t="s">
        <v>8</v>
      </c>
      <c r="J200" s="6" t="s">
        <v>1503</v>
      </c>
      <c r="L200" s="6" t="s">
        <v>5</v>
      </c>
      <c r="M200" s="6"/>
      <c r="N200" s="6"/>
      <c r="O200" s="6"/>
      <c r="T200" s="6" t="s">
        <v>1669</v>
      </c>
      <c r="U200" s="6"/>
    </row>
    <row r="201" spans="1:21" ht="15.6" hidden="1">
      <c r="A201" s="6" t="s">
        <v>1394</v>
      </c>
      <c r="B201" s="1" t="s">
        <v>269</v>
      </c>
      <c r="C201" s="1" t="s">
        <v>1475</v>
      </c>
      <c r="D201" s="6" t="s">
        <v>795</v>
      </c>
      <c r="E201" s="6">
        <v>1</v>
      </c>
      <c r="F201" s="6" t="s">
        <v>1265</v>
      </c>
      <c r="G201" s="6" t="s">
        <v>844</v>
      </c>
      <c r="H201" s="1" t="s">
        <v>1179</v>
      </c>
      <c r="I201" s="1" t="s">
        <v>8</v>
      </c>
      <c r="J201" s="6" t="s">
        <v>1503</v>
      </c>
      <c r="L201" s="6" t="s">
        <v>5</v>
      </c>
      <c r="M201" s="6"/>
      <c r="N201" s="6"/>
      <c r="O201" s="6"/>
      <c r="T201" s="6" t="s">
        <v>1639</v>
      </c>
      <c r="U201" s="6"/>
    </row>
    <row r="202" spans="1:21" ht="15.6" hidden="1">
      <c r="A202" s="6" t="s">
        <v>1395</v>
      </c>
      <c r="B202" s="1" t="s">
        <v>269</v>
      </c>
      <c r="C202" s="1" t="s">
        <v>1475</v>
      </c>
      <c r="D202" s="6" t="s">
        <v>795</v>
      </c>
      <c r="E202" s="6">
        <v>1</v>
      </c>
      <c r="F202" s="6" t="s">
        <v>1265</v>
      </c>
      <c r="G202" s="6" t="s">
        <v>844</v>
      </c>
      <c r="H202" s="1" t="s">
        <v>1179</v>
      </c>
      <c r="I202" s="1" t="s">
        <v>8</v>
      </c>
      <c r="J202" s="6" t="s">
        <v>1503</v>
      </c>
      <c r="L202" s="6" t="s">
        <v>5</v>
      </c>
      <c r="M202" s="6"/>
      <c r="N202" s="6"/>
      <c r="O202" s="6"/>
      <c r="T202" s="6" t="s">
        <v>1453</v>
      </c>
      <c r="U202" s="6"/>
    </row>
    <row r="203" spans="1:21" ht="15.6" hidden="1">
      <c r="A203" s="6" t="s">
        <v>1396</v>
      </c>
      <c r="B203" s="1" t="s">
        <v>269</v>
      </c>
      <c r="C203" s="1" t="s">
        <v>1475</v>
      </c>
      <c r="D203" s="6" t="s">
        <v>795</v>
      </c>
      <c r="E203" s="6">
        <v>1</v>
      </c>
      <c r="F203" s="6" t="s">
        <v>1265</v>
      </c>
      <c r="G203" s="6" t="s">
        <v>844</v>
      </c>
      <c r="H203" s="1" t="s">
        <v>1179</v>
      </c>
      <c r="I203" s="1" t="s">
        <v>8</v>
      </c>
      <c r="J203" s="6" t="s">
        <v>1503</v>
      </c>
      <c r="L203" s="6" t="s">
        <v>5</v>
      </c>
      <c r="M203" s="6"/>
      <c r="N203" s="6"/>
      <c r="O203" s="6"/>
      <c r="T203" s="6" t="s">
        <v>1742</v>
      </c>
      <c r="U203" s="6"/>
    </row>
    <row r="204" spans="1:21" ht="15.6" hidden="1">
      <c r="A204" s="6" t="s">
        <v>1397</v>
      </c>
      <c r="B204" s="1" t="s">
        <v>269</v>
      </c>
      <c r="C204" s="1" t="s">
        <v>1475</v>
      </c>
      <c r="D204" s="6" t="s">
        <v>795</v>
      </c>
      <c r="E204" s="6">
        <v>1</v>
      </c>
      <c r="F204" s="6" t="s">
        <v>1265</v>
      </c>
      <c r="G204" s="6" t="s">
        <v>844</v>
      </c>
      <c r="H204" s="1" t="s">
        <v>1179</v>
      </c>
      <c r="I204" s="1" t="s">
        <v>8</v>
      </c>
      <c r="J204" s="6" t="s">
        <v>1503</v>
      </c>
      <c r="L204" s="6" t="s">
        <v>5</v>
      </c>
      <c r="M204" s="6"/>
      <c r="N204" s="6"/>
      <c r="O204" s="6"/>
      <c r="T204" s="6" t="s">
        <v>1634</v>
      </c>
      <c r="U204" s="6"/>
    </row>
    <row r="205" spans="1:21" ht="15.6" hidden="1">
      <c r="A205" s="6" t="s">
        <v>1398</v>
      </c>
      <c r="B205" s="1" t="s">
        <v>269</v>
      </c>
      <c r="C205" s="1" t="s">
        <v>1475</v>
      </c>
      <c r="D205" s="6" t="s">
        <v>795</v>
      </c>
      <c r="E205" s="6">
        <v>1</v>
      </c>
      <c r="F205" s="6" t="s">
        <v>1265</v>
      </c>
      <c r="G205" s="6" t="s">
        <v>844</v>
      </c>
      <c r="H205" s="1" t="s">
        <v>1179</v>
      </c>
      <c r="I205" s="1" t="s">
        <v>8</v>
      </c>
      <c r="J205" s="6" t="s">
        <v>1503</v>
      </c>
      <c r="L205" s="6" t="s">
        <v>5</v>
      </c>
      <c r="M205" s="6"/>
      <c r="N205" s="6"/>
      <c r="O205" s="6"/>
      <c r="T205" s="6" t="s">
        <v>1743</v>
      </c>
      <c r="U205" s="6"/>
    </row>
    <row r="206" spans="1:21" ht="15.6" hidden="1">
      <c r="A206" s="6" t="s">
        <v>1399</v>
      </c>
      <c r="B206" s="1" t="s">
        <v>269</v>
      </c>
      <c r="C206" s="1" t="s">
        <v>1475</v>
      </c>
      <c r="D206" s="6" t="s">
        <v>795</v>
      </c>
      <c r="E206" s="6">
        <v>1</v>
      </c>
      <c r="F206" s="6" t="s">
        <v>1265</v>
      </c>
      <c r="G206" s="6" t="s">
        <v>844</v>
      </c>
      <c r="H206" s="1" t="s">
        <v>1179</v>
      </c>
      <c r="I206" s="1" t="s">
        <v>8</v>
      </c>
      <c r="J206" s="6" t="s">
        <v>1503</v>
      </c>
      <c r="L206" s="6" t="s">
        <v>5</v>
      </c>
      <c r="M206" s="6"/>
      <c r="N206" s="6"/>
      <c r="O206" s="6"/>
      <c r="T206" s="6" t="s">
        <v>1634</v>
      </c>
      <c r="U206" s="6"/>
    </row>
    <row r="207" spans="1:21" ht="15.6" hidden="1">
      <c r="A207" s="6" t="s">
        <v>1400</v>
      </c>
      <c r="B207" s="1" t="s">
        <v>269</v>
      </c>
      <c r="C207" s="1" t="s">
        <v>1475</v>
      </c>
      <c r="D207" s="6" t="s">
        <v>795</v>
      </c>
      <c r="E207" s="6">
        <v>1</v>
      </c>
      <c r="F207" s="6" t="s">
        <v>1265</v>
      </c>
      <c r="G207" s="6" t="s">
        <v>844</v>
      </c>
      <c r="H207" s="1" t="s">
        <v>1179</v>
      </c>
      <c r="I207" s="1" t="s">
        <v>8</v>
      </c>
      <c r="J207" s="6" t="s">
        <v>1503</v>
      </c>
      <c r="L207" s="6" t="s">
        <v>5</v>
      </c>
      <c r="M207" s="6"/>
      <c r="N207" s="6"/>
      <c r="O207" s="6"/>
      <c r="T207" s="6" t="s">
        <v>1634</v>
      </c>
      <c r="U207" s="6"/>
    </row>
    <row r="208" spans="1:21" ht="15.6" hidden="1">
      <c r="A208" s="6" t="s">
        <v>1551</v>
      </c>
      <c r="B208" s="1" t="s">
        <v>269</v>
      </c>
      <c r="C208" s="1" t="s">
        <v>1475</v>
      </c>
      <c r="D208" s="6" t="s">
        <v>795</v>
      </c>
      <c r="E208" s="6">
        <v>1</v>
      </c>
      <c r="F208" s="6" t="s">
        <v>1265</v>
      </c>
      <c r="G208" s="6" t="s">
        <v>844</v>
      </c>
      <c r="H208" s="1" t="s">
        <v>1179</v>
      </c>
      <c r="I208" s="1" t="s">
        <v>8</v>
      </c>
      <c r="J208" s="6" t="s">
        <v>1503</v>
      </c>
      <c r="L208" s="6" t="s">
        <v>5</v>
      </c>
      <c r="M208" s="6"/>
      <c r="N208" s="6"/>
      <c r="O208" s="6"/>
      <c r="T208" s="6" t="s">
        <v>1744</v>
      </c>
      <c r="U208" s="6"/>
    </row>
    <row r="209" spans="1:21" ht="15.6" hidden="1">
      <c r="A209" s="6" t="s">
        <v>1573</v>
      </c>
      <c r="B209" s="1" t="s">
        <v>269</v>
      </c>
      <c r="C209" s="1" t="s">
        <v>1475</v>
      </c>
      <c r="D209" s="6" t="s">
        <v>795</v>
      </c>
      <c r="E209" s="6">
        <v>1</v>
      </c>
      <c r="F209" s="6" t="s">
        <v>1265</v>
      </c>
      <c r="G209" s="6" t="s">
        <v>844</v>
      </c>
      <c r="H209" s="1" t="s">
        <v>1179</v>
      </c>
      <c r="I209" s="1" t="s">
        <v>8</v>
      </c>
      <c r="J209" s="6" t="s">
        <v>1503</v>
      </c>
      <c r="L209" s="6" t="s">
        <v>5</v>
      </c>
      <c r="M209" s="6"/>
      <c r="N209" s="6"/>
      <c r="O209" s="6"/>
      <c r="T209" s="6" t="s">
        <v>1639</v>
      </c>
      <c r="U209" s="6"/>
    </row>
    <row r="210" spans="1:21" ht="15.6">
      <c r="A210" s="6" t="s">
        <v>1723</v>
      </c>
      <c r="B210" s="1" t="s">
        <v>269</v>
      </c>
      <c r="C210" s="1"/>
      <c r="D210" s="6"/>
      <c r="E210" s="6"/>
      <c r="F210" s="1"/>
      <c r="G210" s="1"/>
      <c r="H210" s="6"/>
      <c r="I210" s="1" t="s">
        <v>8</v>
      </c>
      <c r="J210" s="6"/>
      <c r="K210" s="1" t="s">
        <v>1345</v>
      </c>
      <c r="L210" s="6" t="s">
        <v>5</v>
      </c>
      <c r="M210" s="6"/>
      <c r="N210" s="6"/>
      <c r="O210" s="6"/>
      <c r="T210" s="6" t="s">
        <v>1752</v>
      </c>
    </row>
    <row r="211" spans="1:21" ht="15.6">
      <c r="A211" s="6" t="s">
        <v>1773</v>
      </c>
      <c r="B211" s="1" t="s">
        <v>269</v>
      </c>
      <c r="C211" s="1"/>
      <c r="D211" s="6"/>
      <c r="E211" s="6">
        <v>18</v>
      </c>
      <c r="F211" s="1"/>
      <c r="G211" s="1" t="s">
        <v>843</v>
      </c>
      <c r="H211" s="6" t="s">
        <v>1772</v>
      </c>
      <c r="I211" s="1" t="s">
        <v>8</v>
      </c>
      <c r="J211" s="6"/>
      <c r="K211" s="1"/>
      <c r="L211" s="6" t="s">
        <v>5</v>
      </c>
      <c r="M211" s="6">
        <v>500</v>
      </c>
      <c r="N211" s="6"/>
      <c r="O211" s="6"/>
      <c r="T211" s="6" t="s">
        <v>1752</v>
      </c>
    </row>
  </sheetData>
  <autoFilter ref="A1:T84" xr:uid="{BF96F151-A2DE-4E4F-9468-4205087BBFEB}"/>
  <conditionalFormatting sqref="A2:T3 A6:J7 L6:O7 T6:T7 A8:T11 K12:T12 T13 L13:O13 A12:J13 K14:T16 G14:I16 A14:E16 D18 A19:B25 G19:G29 L19:O29 I19:I29 B26:B29 J14:J30 T17:T30 A31:B31 D19:E31 C18:C31 A32:E32 D33:E33 A33:C38 D34:D38 A40:T40 G31:T39 A39:D39 E34:E39 F14:F39 L41:O42 T41:T42 A41:J42 A43:T43 E45 P44:S44 D44:E44 A44:C45 K44 A46:E46 E47:E48 K54:K57 A49:E60 A47:C48 D48 F44:J60 T44:T74 L44:O77 L83:O83 K80:O80 A61:J77 I84:O84 G84 K88 T76:T77 L85:O88 A102:O102 A103:C105 D103:G103 T98:T104 D104:J105 I103:J103 T106 L103:O107 A106:J107 K112 P112:S112 L115:L117 A115:G118 I115:J117 M115:O118 K115:K116 I118:L118 T109:T113 G131:G132 D130:F132 B144:E145 B146 G146:G147 K145:K146 A144:A146 L131:L142 A147:B147 D133:G143 C146:E147 F144:F147 A130:C143 L143:O148 A148:G148 B156 A156:A157 L152:L153 B157:D157 C155:C156 A152:C154 M152:O157 A155:B155 E152:G157 I154:L157 D152:D156 K153 I161:O161 I158:J160 L158:O160 A158:G161 M90:O90 A119:C121 D119:G122 A122:B122 T122 A177:A179 A183:A184 E183 C183 J183 M183:O183 I179:J180 B179:G179 L179:O180 T179:T180 A180:G180 T183:T184 I151:J153 T151:T160 A151:G151 K151:O151 A82:J83 K82:O82 A109:J113 A108 L109:O113 L91:O101 G85:J88 A84:F88 T82:T88 G196 T196 I196:O196 I210:K210 A196:E196 A210:G210 T79:T80 A79:J80 L79:O79 T115:T120 T90:T96 A90:J101 M210:O210 A123:G125 I119:J125 A126:J126 I127:J148 L119:O130 T125:T148 A127:G129 J212:J1048576">
    <cfRule type="expression" dxfId="1269" priority="3230">
      <formula>$L2="卖出"</formula>
    </cfRule>
  </conditionalFormatting>
  <conditionalFormatting sqref="T5 G4:I4 A4:C4 E4 L5:O5 K4:T4 J4:J5 A5:I5 I163:O164 A162:B162 E162:F162 I162:J162 M165:O165 M167:O167 D177 G185 E184 J184 J186 M184:O184 I185:I186 E186:G186 A163:A167 E163:E167 A185:D186 L185:O186">
    <cfRule type="expression" dxfId="1268" priority="1382">
      <formula>$L4="卖出"</formula>
    </cfRule>
  </conditionalFormatting>
  <conditionalFormatting sqref="F4">
    <cfRule type="expression" dxfId="1267" priority="1291">
      <formula>$L4="卖出"</formula>
    </cfRule>
  </conditionalFormatting>
  <conditionalFormatting sqref="T164">
    <cfRule type="expression" dxfId="1266" priority="925">
      <formula>$L164="卖出"</formula>
    </cfRule>
  </conditionalFormatting>
  <conditionalFormatting sqref="H165">
    <cfRule type="expression" dxfId="1265" priority="929">
      <formula>$L165="卖出"</formula>
    </cfRule>
  </conditionalFormatting>
  <conditionalFormatting sqref="F167">
    <cfRule type="expression" dxfId="1264" priority="818">
      <formula>$L167="卖出"</formula>
    </cfRule>
  </conditionalFormatting>
  <conditionalFormatting sqref="G167">
    <cfRule type="expression" dxfId="1263" priority="822">
      <formula>$L167="卖出"</formula>
    </cfRule>
  </conditionalFormatting>
  <conditionalFormatting sqref="B167">
    <cfRule type="expression" dxfId="1262" priority="821">
      <formula>$L167="卖出"</formula>
    </cfRule>
  </conditionalFormatting>
  <conditionalFormatting sqref="D167">
    <cfRule type="expression" dxfId="1261" priority="820">
      <formula>$L167="卖出"</formula>
    </cfRule>
  </conditionalFormatting>
  <conditionalFormatting sqref="C167">
    <cfRule type="expression" dxfId="1260" priority="819">
      <formula>$L167="卖出"</formula>
    </cfRule>
  </conditionalFormatting>
  <conditionalFormatting sqref="L167">
    <cfRule type="expression" dxfId="1259" priority="817">
      <formula>$L167="卖出"</formula>
    </cfRule>
  </conditionalFormatting>
  <conditionalFormatting sqref="T167">
    <cfRule type="expression" dxfId="1258" priority="816">
      <formula>$L167="卖出"</formula>
    </cfRule>
  </conditionalFormatting>
  <conditionalFormatting sqref="A168 M168:O168 E168 E175 A175">
    <cfRule type="expression" dxfId="1257" priority="815">
      <formula>$L168="卖出"</formula>
    </cfRule>
  </conditionalFormatting>
  <conditionalFormatting sqref="L176">
    <cfRule type="expression" dxfId="1256" priority="579">
      <formula>$L176="卖出"</formula>
    </cfRule>
  </conditionalFormatting>
  <conditionalFormatting sqref="D176">
    <cfRule type="expression" dxfId="1255" priority="584">
      <formula>$L176="卖出"</formula>
    </cfRule>
  </conditionalFormatting>
  <conditionalFormatting sqref="C176">
    <cfRule type="expression" dxfId="1254" priority="582">
      <formula>$L176="卖出"</formula>
    </cfRule>
  </conditionalFormatting>
  <conditionalFormatting sqref="E176 A176">
    <cfRule type="expression" dxfId="1253" priority="585">
      <formula>$L176="卖出"</formula>
    </cfRule>
  </conditionalFormatting>
  <conditionalFormatting sqref="G176">
    <cfRule type="expression" dxfId="1252" priority="581">
      <formula>$L176="卖出"</formula>
    </cfRule>
  </conditionalFormatting>
  <conditionalFormatting sqref="I176">
    <cfRule type="expression" dxfId="1251" priority="580">
      <formula>$L176="卖出"</formula>
    </cfRule>
  </conditionalFormatting>
  <conditionalFormatting sqref="E174 A174">
    <cfRule type="expression" dxfId="1250" priority="576">
      <formula>$L174="卖出"</formula>
    </cfRule>
  </conditionalFormatting>
  <conditionalFormatting sqref="D174">
    <cfRule type="expression" dxfId="1249" priority="575">
      <formula>$L174="卖出"</formula>
    </cfRule>
  </conditionalFormatting>
  <conditionalFormatting sqref="B174">
    <cfRule type="expression" dxfId="1248" priority="574">
      <formula>$L174="卖出"</formula>
    </cfRule>
  </conditionalFormatting>
  <conditionalFormatting sqref="G174">
    <cfRule type="expression" dxfId="1247" priority="572">
      <formula>$L174="卖出"</formula>
    </cfRule>
  </conditionalFormatting>
  <conditionalFormatting sqref="I174">
    <cfRule type="expression" dxfId="1246" priority="571">
      <formula>$L174="卖出"</formula>
    </cfRule>
  </conditionalFormatting>
  <conditionalFormatting sqref="L174">
    <cfRule type="expression" dxfId="1245" priority="570">
      <formula>$L174="卖出"</formula>
    </cfRule>
  </conditionalFormatting>
  <conditionalFormatting sqref="T174">
    <cfRule type="expression" dxfId="1244" priority="569">
      <formula>$L174="卖出"</formula>
    </cfRule>
  </conditionalFormatting>
  <conditionalFormatting sqref="F174">
    <cfRule type="expression" dxfId="1243" priority="568">
      <formula>$L174="卖出"</formula>
    </cfRule>
  </conditionalFormatting>
  <conditionalFormatting sqref="G178">
    <cfRule type="expression" dxfId="1242" priority="554">
      <formula>$L178="卖出"</formula>
    </cfRule>
  </conditionalFormatting>
  <conditionalFormatting sqref="B178">
    <cfRule type="expression" dxfId="1241" priority="549">
      <formula>$L178="卖出"</formula>
    </cfRule>
  </conditionalFormatting>
  <conditionalFormatting sqref="I183">
    <cfRule type="expression" dxfId="1240" priority="487">
      <formula>$L183="卖出"</formula>
    </cfRule>
  </conditionalFormatting>
  <conditionalFormatting sqref="I184">
    <cfRule type="expression" dxfId="1239" priority="338">
      <formula>$L184="卖出"</formula>
    </cfRule>
  </conditionalFormatting>
  <conditionalFormatting sqref="B184">
    <cfRule type="expression" dxfId="1238" priority="339">
      <formula>$L184="卖出"</formula>
    </cfRule>
  </conditionalFormatting>
  <conditionalFormatting sqref="D184">
    <cfRule type="expression" dxfId="1237" priority="323">
      <formula>$L184="卖出"</formula>
    </cfRule>
  </conditionalFormatting>
  <conditionalFormatting sqref="C184">
    <cfRule type="expression" dxfId="1236" priority="322">
      <formula>$L184="卖出"</formula>
    </cfRule>
  </conditionalFormatting>
  <conditionalFormatting sqref="G184">
    <cfRule type="expression" dxfId="1235" priority="321">
      <formula>$L184="卖出"</formula>
    </cfRule>
  </conditionalFormatting>
  <conditionalFormatting sqref="F184">
    <cfRule type="expression" dxfId="1234" priority="320">
      <formula>$L184="卖出"</formula>
    </cfRule>
  </conditionalFormatting>
  <conditionalFormatting sqref="E169 A169">
    <cfRule type="expression" dxfId="1233" priority="319">
      <formula>$L169="卖出"</formula>
    </cfRule>
  </conditionalFormatting>
  <conditionalFormatting sqref="M169:O169">
    <cfRule type="expression" dxfId="1232" priority="309">
      <formula>$L169="卖出"</formula>
    </cfRule>
  </conditionalFormatting>
  <conditionalFormatting sqref="D4">
    <cfRule type="expression" dxfId="1231" priority="1285">
      <formula>$L4="卖出"</formula>
    </cfRule>
  </conditionalFormatting>
  <conditionalFormatting sqref="G145">
    <cfRule type="expression" dxfId="1230" priority="1185">
      <formula>$L144="卖出"</formula>
    </cfRule>
  </conditionalFormatting>
  <conditionalFormatting sqref="G144">
    <cfRule type="expression" dxfId="1229" priority="1383">
      <formula>#REF!="卖出"</formula>
    </cfRule>
  </conditionalFormatting>
  <conditionalFormatting sqref="G130">
    <cfRule type="expression" dxfId="1228" priority="964">
      <formula>#REF!="卖出"</formula>
    </cfRule>
  </conditionalFormatting>
  <conditionalFormatting sqref="T163">
    <cfRule type="expression" dxfId="1227" priority="949">
      <formula>$L163="卖出"</formula>
    </cfRule>
  </conditionalFormatting>
  <conditionalFormatting sqref="C163">
    <cfRule type="expression" dxfId="1226" priority="956">
      <formula>$L163="卖出"</formula>
    </cfRule>
  </conditionalFormatting>
  <conditionalFormatting sqref="B163">
    <cfRule type="expression" dxfId="1225" priority="955">
      <formula>$L163="卖出"</formula>
    </cfRule>
  </conditionalFormatting>
  <conditionalFormatting sqref="F163">
    <cfRule type="expression" dxfId="1224" priority="954">
      <formula>$L163="卖出"</formula>
    </cfRule>
  </conditionalFormatting>
  <conditionalFormatting sqref="G163:G164">
    <cfRule type="expression" dxfId="1223" priority="953">
      <formula>$L163="卖出"</formula>
    </cfRule>
  </conditionalFormatting>
  <conditionalFormatting sqref="J166:J167">
    <cfRule type="expression" dxfId="1222" priority="952">
      <formula>$L166="卖出"</formula>
    </cfRule>
  </conditionalFormatting>
  <conditionalFormatting sqref="D163">
    <cfRule type="expression" dxfId="1221" priority="948">
      <formula>$L163="卖出"</formula>
    </cfRule>
  </conditionalFormatting>
  <conditionalFormatting sqref="D164">
    <cfRule type="expression" dxfId="1220" priority="945">
      <formula>$L164="卖出"</formula>
    </cfRule>
  </conditionalFormatting>
  <conditionalFormatting sqref="C164">
    <cfRule type="expression" dxfId="1219" priority="947">
      <formula>$L164="卖出"</formula>
    </cfRule>
  </conditionalFormatting>
  <conditionalFormatting sqref="B164">
    <cfRule type="expression" dxfId="1218" priority="946">
      <formula>$L164="卖出"</formula>
    </cfRule>
  </conditionalFormatting>
  <conditionalFormatting sqref="F164">
    <cfRule type="expression" dxfId="1217" priority="918">
      <formula>$L164="卖出"</formula>
    </cfRule>
  </conditionalFormatting>
  <conditionalFormatting sqref="G162">
    <cfRule type="expression" dxfId="1216" priority="889">
      <formula>$L162="卖出"</formula>
    </cfRule>
  </conditionalFormatting>
  <conditionalFormatting sqref="M162:O162">
    <cfRule type="expression" dxfId="1215" priority="888">
      <formula>$L162="卖出"</formula>
    </cfRule>
  </conditionalFormatting>
  <conditionalFormatting sqref="T162">
    <cfRule type="expression" dxfId="1214" priority="886">
      <formula>$L162="卖出"</formula>
    </cfRule>
  </conditionalFormatting>
  <conditionalFormatting sqref="L162">
    <cfRule type="expression" dxfId="1213" priority="887">
      <formula>$L162="卖出"</formula>
    </cfRule>
  </conditionalFormatting>
  <conditionalFormatting sqref="D162">
    <cfRule type="expression" dxfId="1212" priority="884">
      <formula>$L162="卖出"</formula>
    </cfRule>
  </conditionalFormatting>
  <conditionalFormatting sqref="C162">
    <cfRule type="expression" dxfId="1211" priority="885">
      <formula>$L162="卖出"</formula>
    </cfRule>
  </conditionalFormatting>
  <conditionalFormatting sqref="T166">
    <cfRule type="expression" dxfId="1210" priority="836">
      <formula>$L166="卖出"</formula>
    </cfRule>
  </conditionalFormatting>
  <conditionalFormatting sqref="I165">
    <cfRule type="expression" dxfId="1209" priority="852">
      <formula>$L165="卖出"</formula>
    </cfRule>
  </conditionalFormatting>
  <conditionalFormatting sqref="L165">
    <cfRule type="expression" dxfId="1208" priority="851">
      <formula>$L165="卖出"</formula>
    </cfRule>
  </conditionalFormatting>
  <conditionalFormatting sqref="B165">
    <cfRule type="expression" dxfId="1207" priority="850">
      <formula>$L165="卖出"</formula>
    </cfRule>
  </conditionalFormatting>
  <conditionalFormatting sqref="D165">
    <cfRule type="expression" dxfId="1206" priority="848">
      <formula>$L165="卖出"</formula>
    </cfRule>
  </conditionalFormatting>
  <conditionalFormatting sqref="C165">
    <cfRule type="expression" dxfId="1205" priority="849">
      <formula>$L165="卖出"</formula>
    </cfRule>
  </conditionalFormatting>
  <conditionalFormatting sqref="F165">
    <cfRule type="expression" dxfId="1204" priority="847">
      <formula>$L165="卖出"</formula>
    </cfRule>
  </conditionalFormatting>
  <conditionalFormatting sqref="G165">
    <cfRule type="expression" dxfId="1203" priority="846">
      <formula>$L165="卖出"</formula>
    </cfRule>
  </conditionalFormatting>
  <conditionalFormatting sqref="T165">
    <cfRule type="expression" dxfId="1202" priority="845">
      <formula>$L165="卖出"</formula>
    </cfRule>
  </conditionalFormatting>
  <conditionalFormatting sqref="B166">
    <cfRule type="expression" dxfId="1201" priority="844">
      <formula>$L166="卖出"</formula>
    </cfRule>
  </conditionalFormatting>
  <conditionalFormatting sqref="C166">
    <cfRule type="expression" dxfId="1200" priority="843">
      <formula>$L166="卖出"</formula>
    </cfRule>
  </conditionalFormatting>
  <conditionalFormatting sqref="D166">
    <cfRule type="expression" dxfId="1199" priority="842">
      <formula>$L166="卖出"</formula>
    </cfRule>
  </conditionalFormatting>
  <conditionalFormatting sqref="G166">
    <cfRule type="expression" dxfId="1198" priority="841">
      <formula>$L166="卖出"</formula>
    </cfRule>
  </conditionalFormatting>
  <conditionalFormatting sqref="F166">
    <cfRule type="expression" dxfId="1197" priority="840">
      <formula>$L166="卖出"</formula>
    </cfRule>
  </conditionalFormatting>
  <conditionalFormatting sqref="I166">
    <cfRule type="expression" dxfId="1196" priority="839">
      <formula>$L166="卖出"</formula>
    </cfRule>
  </conditionalFormatting>
  <conditionalFormatting sqref="M166:O166">
    <cfRule type="expression" dxfId="1195" priority="838">
      <formula>$L166="卖出"</formula>
    </cfRule>
  </conditionalFormatting>
  <conditionalFormatting sqref="L166">
    <cfRule type="expression" dxfId="1194" priority="837">
      <formula>$L166="卖出"</formula>
    </cfRule>
  </conditionalFormatting>
  <conditionalFormatting sqref="I167">
    <cfRule type="expression" dxfId="1193" priority="823">
      <formula>$L167="卖出"</formula>
    </cfRule>
  </conditionalFormatting>
  <conditionalFormatting sqref="J168">
    <cfRule type="expression" dxfId="1192" priority="814">
      <formula>$L168="卖出"</formula>
    </cfRule>
  </conditionalFormatting>
  <conditionalFormatting sqref="D175">
    <cfRule type="expression" dxfId="1191" priority="813">
      <formula>$L175="卖出"</formula>
    </cfRule>
  </conditionalFormatting>
  <conditionalFormatting sqref="B168">
    <cfRule type="expression" dxfId="1190" priority="798">
      <formula>$L168="卖出"</formula>
    </cfRule>
  </conditionalFormatting>
  <conditionalFormatting sqref="C168">
    <cfRule type="expression" dxfId="1189" priority="797">
      <formula>$L168="卖出"</formula>
    </cfRule>
  </conditionalFormatting>
  <conditionalFormatting sqref="D168">
    <cfRule type="expression" dxfId="1188" priority="796">
      <formula>$L168="卖出"</formula>
    </cfRule>
  </conditionalFormatting>
  <conditionalFormatting sqref="G168">
    <cfRule type="expression" dxfId="1187" priority="795">
      <formula>$L168="卖出"</formula>
    </cfRule>
  </conditionalFormatting>
  <conditionalFormatting sqref="I168">
    <cfRule type="expression" dxfId="1186" priority="794">
      <formula>$L168="卖出"</formula>
    </cfRule>
  </conditionalFormatting>
  <conditionalFormatting sqref="L168">
    <cfRule type="expression" dxfId="1185" priority="793">
      <formula>$L168="卖出"</formula>
    </cfRule>
  </conditionalFormatting>
  <conditionalFormatting sqref="T168">
    <cfRule type="expression" dxfId="1184" priority="792">
      <formula>$L168="卖出"</formula>
    </cfRule>
  </conditionalFormatting>
  <conditionalFormatting sqref="F168">
    <cfRule type="expression" dxfId="1183" priority="791">
      <formula>$L168="卖出"</formula>
    </cfRule>
  </conditionalFormatting>
  <conditionalFormatting sqref="B175">
    <cfRule type="expression" dxfId="1182" priority="758">
      <formula>$L175="卖出"</formula>
    </cfRule>
  </conditionalFormatting>
  <conditionalFormatting sqref="C175">
    <cfRule type="expression" dxfId="1181" priority="757">
      <formula>$L175="卖出"</formula>
    </cfRule>
  </conditionalFormatting>
  <conditionalFormatting sqref="G175">
    <cfRule type="expression" dxfId="1180" priority="756">
      <formula>$L175="卖出"</formula>
    </cfRule>
  </conditionalFormatting>
  <conditionalFormatting sqref="I175">
    <cfRule type="expression" dxfId="1179" priority="755">
      <formula>$L175="卖出"</formula>
    </cfRule>
  </conditionalFormatting>
  <conditionalFormatting sqref="L175">
    <cfRule type="expression" dxfId="1178" priority="754">
      <formula>$L175="卖出"</formula>
    </cfRule>
  </conditionalFormatting>
  <conditionalFormatting sqref="T175">
    <cfRule type="expression" dxfId="1177" priority="753">
      <formula>$L175="卖出"</formula>
    </cfRule>
  </conditionalFormatting>
  <conditionalFormatting sqref="F175">
    <cfRule type="expression" dxfId="1176" priority="752">
      <formula>$L175="卖出"</formula>
    </cfRule>
  </conditionalFormatting>
  <conditionalFormatting sqref="E171 A171">
    <cfRule type="expression" dxfId="1175" priority="751">
      <formula>$L171="卖出"</formula>
    </cfRule>
  </conditionalFormatting>
  <conditionalFormatting sqref="I171">
    <cfRule type="expression" dxfId="1174" priority="746">
      <formula>$L171="卖出"</formula>
    </cfRule>
  </conditionalFormatting>
  <conditionalFormatting sqref="D171">
    <cfRule type="expression" dxfId="1173" priority="750">
      <formula>$L171="卖出"</formula>
    </cfRule>
  </conditionalFormatting>
  <conditionalFormatting sqref="B171">
    <cfRule type="expression" dxfId="1172" priority="749">
      <formula>$L171="卖出"</formula>
    </cfRule>
  </conditionalFormatting>
  <conditionalFormatting sqref="C171">
    <cfRule type="expression" dxfId="1171" priority="748">
      <formula>$L171="卖出"</formula>
    </cfRule>
  </conditionalFormatting>
  <conditionalFormatting sqref="G171">
    <cfRule type="expression" dxfId="1170" priority="747">
      <formula>$L171="卖出"</formula>
    </cfRule>
  </conditionalFormatting>
  <conditionalFormatting sqref="L171">
    <cfRule type="expression" dxfId="1169" priority="745">
      <formula>$L171="卖出"</formula>
    </cfRule>
  </conditionalFormatting>
  <conditionalFormatting sqref="T171">
    <cfRule type="expression" dxfId="1168" priority="744">
      <formula>$L171="卖出"</formula>
    </cfRule>
  </conditionalFormatting>
  <conditionalFormatting sqref="F171">
    <cfRule type="expression" dxfId="1167" priority="743">
      <formula>$L171="卖出"</formula>
    </cfRule>
  </conditionalFormatting>
  <conditionalFormatting sqref="F177">
    <cfRule type="expression" dxfId="1166" priority="666">
      <formula>$L177="卖出"</formula>
    </cfRule>
  </conditionalFormatting>
  <conditionalFormatting sqref="G177">
    <cfRule type="expression" dxfId="1165" priority="665">
      <formula>$L177="卖出"</formula>
    </cfRule>
  </conditionalFormatting>
  <conditionalFormatting sqref="M177:O177">
    <cfRule type="expression" dxfId="1164" priority="664">
      <formula>$L177="卖出"</formula>
    </cfRule>
  </conditionalFormatting>
  <conditionalFormatting sqref="J177">
    <cfRule type="expression" dxfId="1163" priority="663">
      <formula>$L177="卖出"</formula>
    </cfRule>
  </conditionalFormatting>
  <conditionalFormatting sqref="I177">
    <cfRule type="expression" dxfId="1162" priority="662">
      <formula>$L177="卖出"</formula>
    </cfRule>
  </conditionalFormatting>
  <conditionalFormatting sqref="L177">
    <cfRule type="expression" dxfId="1161" priority="661">
      <formula>$L177="卖出"</formula>
    </cfRule>
  </conditionalFormatting>
  <conditionalFormatting sqref="T177">
    <cfRule type="expression" dxfId="1160" priority="660">
      <formula>$L177="卖出"</formula>
    </cfRule>
  </conditionalFormatting>
  <conditionalFormatting sqref="B177">
    <cfRule type="expression" dxfId="1159" priority="659">
      <formula>$L177="卖出"</formula>
    </cfRule>
  </conditionalFormatting>
  <conditionalFormatting sqref="C177">
    <cfRule type="expression" dxfId="1158" priority="658">
      <formula>$L177="卖出"</formula>
    </cfRule>
  </conditionalFormatting>
  <conditionalFormatting sqref="E177">
    <cfRule type="expression" dxfId="1157" priority="657">
      <formula>$L177="卖出"</formula>
    </cfRule>
  </conditionalFormatting>
  <conditionalFormatting sqref="B176">
    <cfRule type="expression" dxfId="1156" priority="583">
      <formula>$L176="卖出"</formula>
    </cfRule>
  </conditionalFormatting>
  <conditionalFormatting sqref="T176">
    <cfRule type="expression" dxfId="1155" priority="578">
      <formula>$L176="卖出"</formula>
    </cfRule>
  </conditionalFormatting>
  <conditionalFormatting sqref="F176">
    <cfRule type="expression" dxfId="1154" priority="577">
      <formula>$L176="卖出"</formula>
    </cfRule>
  </conditionalFormatting>
  <conditionalFormatting sqref="C174">
    <cfRule type="expression" dxfId="1153" priority="573">
      <formula>$L174="卖出"</formula>
    </cfRule>
  </conditionalFormatting>
  <conditionalFormatting sqref="F178">
    <cfRule type="expression" dxfId="1152" priority="544">
      <formula>$L178="卖出"</formula>
    </cfRule>
  </conditionalFormatting>
  <conditionalFormatting sqref="E178">
    <cfRule type="expression" dxfId="1151" priority="548">
      <formula>$L178="卖出"</formula>
    </cfRule>
  </conditionalFormatting>
  <conditionalFormatting sqref="D178">
    <cfRule type="expression" dxfId="1150" priority="555">
      <formula>$L178="卖出"</formula>
    </cfRule>
  </conditionalFormatting>
  <conditionalFormatting sqref="M178:O178">
    <cfRule type="expression" dxfId="1149" priority="553">
      <formula>$L178="卖出"</formula>
    </cfRule>
  </conditionalFormatting>
  <conditionalFormatting sqref="J178">
    <cfRule type="expression" dxfId="1148" priority="552">
      <formula>$L178="卖出"</formula>
    </cfRule>
  </conditionalFormatting>
  <conditionalFormatting sqref="I178">
    <cfRule type="expression" dxfId="1147" priority="551">
      <formula>$L178="卖出"</formula>
    </cfRule>
  </conditionalFormatting>
  <conditionalFormatting sqref="L178">
    <cfRule type="expression" dxfId="1146" priority="550">
      <formula>$L178="卖出"</formula>
    </cfRule>
  </conditionalFormatting>
  <conditionalFormatting sqref="T178">
    <cfRule type="expression" dxfId="1145" priority="547">
      <formula>$L178="卖出"</formula>
    </cfRule>
  </conditionalFormatting>
  <conditionalFormatting sqref="K178">
    <cfRule type="expression" dxfId="1144" priority="546">
      <formula>$L178="卖出"</formula>
    </cfRule>
  </conditionalFormatting>
  <conditionalFormatting sqref="C178">
    <cfRule type="expression" dxfId="1143" priority="545">
      <formula>$L178="卖出"</formula>
    </cfRule>
  </conditionalFormatting>
  <conditionalFormatting sqref="B183">
    <cfRule type="expression" dxfId="1142" priority="490">
      <formula>$L183="卖出"</formula>
    </cfRule>
  </conditionalFormatting>
  <conditionalFormatting sqref="D183">
    <cfRule type="expression" dxfId="1141" priority="489">
      <formula>$L183="卖出"</formula>
    </cfRule>
  </conditionalFormatting>
  <conditionalFormatting sqref="G183">
    <cfRule type="expression" dxfId="1140" priority="488">
      <formula>$L183="卖出"</formula>
    </cfRule>
  </conditionalFormatting>
  <conditionalFormatting sqref="L183">
    <cfRule type="expression" dxfId="1139" priority="486">
      <formula>$L183="卖出"</formula>
    </cfRule>
  </conditionalFormatting>
  <conditionalFormatting sqref="K183">
    <cfRule type="expression" dxfId="1138" priority="485">
      <formula>$L183="卖出"</formula>
    </cfRule>
  </conditionalFormatting>
  <conditionalFormatting sqref="F183">
    <cfRule type="expression" dxfId="1137" priority="454">
      <formula>$L183="卖出"</formula>
    </cfRule>
  </conditionalFormatting>
  <conditionalFormatting sqref="E170 A170">
    <cfRule type="expression" dxfId="1136" priority="389">
      <formula>$L170="卖出"</formula>
    </cfRule>
  </conditionalFormatting>
  <conditionalFormatting sqref="I170">
    <cfRule type="expression" dxfId="1135" priority="384">
      <formula>$L170="卖出"</formula>
    </cfRule>
  </conditionalFormatting>
  <conditionalFormatting sqref="D170">
    <cfRule type="expression" dxfId="1134" priority="388">
      <formula>$L170="卖出"</formula>
    </cfRule>
  </conditionalFormatting>
  <conditionalFormatting sqref="B170">
    <cfRule type="expression" dxfId="1133" priority="387">
      <formula>$L170="卖出"</formula>
    </cfRule>
  </conditionalFormatting>
  <conditionalFormatting sqref="C170">
    <cfRule type="expression" dxfId="1132" priority="386">
      <formula>$L170="卖出"</formula>
    </cfRule>
  </conditionalFormatting>
  <conditionalFormatting sqref="G170">
    <cfRule type="expression" dxfId="1131" priority="385">
      <formula>$L170="卖出"</formula>
    </cfRule>
  </conditionalFormatting>
  <conditionalFormatting sqref="L170">
    <cfRule type="expression" dxfId="1130" priority="383">
      <formula>$L170="卖出"</formula>
    </cfRule>
  </conditionalFormatting>
  <conditionalFormatting sqref="T170">
    <cfRule type="expression" dxfId="1129" priority="382">
      <formula>$L170="卖出"</formula>
    </cfRule>
  </conditionalFormatting>
  <conditionalFormatting sqref="F170">
    <cfRule type="expression" dxfId="1128" priority="381">
      <formula>$L170="卖出"</formula>
    </cfRule>
  </conditionalFormatting>
  <conditionalFormatting sqref="E172:E173 A172:A173">
    <cfRule type="expression" dxfId="1127" priority="380">
      <formula>$L172="卖出"</formula>
    </cfRule>
  </conditionalFormatting>
  <conditionalFormatting sqref="I172:I173">
    <cfRule type="expression" dxfId="1126" priority="375">
      <formula>$L172="卖出"</formula>
    </cfRule>
  </conditionalFormatting>
  <conditionalFormatting sqref="D172:D173">
    <cfRule type="expression" dxfId="1125" priority="379">
      <formula>$L172="卖出"</formula>
    </cfRule>
  </conditionalFormatting>
  <conditionalFormatting sqref="B172:B173">
    <cfRule type="expression" dxfId="1124" priority="378">
      <formula>$L172="卖出"</formula>
    </cfRule>
  </conditionalFormatting>
  <conditionalFormatting sqref="C172:C173">
    <cfRule type="expression" dxfId="1123" priority="377">
      <formula>$L172="卖出"</formula>
    </cfRule>
  </conditionalFormatting>
  <conditionalFormatting sqref="G172:G173">
    <cfRule type="expression" dxfId="1122" priority="376">
      <formula>$L172="卖出"</formula>
    </cfRule>
  </conditionalFormatting>
  <conditionalFormatting sqref="L172:L173">
    <cfRule type="expression" dxfId="1121" priority="374">
      <formula>$L172="卖出"</formula>
    </cfRule>
  </conditionalFormatting>
  <conditionalFormatting sqref="F172:F173">
    <cfRule type="expression" dxfId="1120" priority="373">
      <formula>$L172="卖出"</formula>
    </cfRule>
  </conditionalFormatting>
  <conditionalFormatting sqref="L184">
    <cfRule type="expression" dxfId="1119" priority="337">
      <formula>$L184="卖出"</formula>
    </cfRule>
  </conditionalFormatting>
  <conditionalFormatting sqref="T172">
    <cfRule type="expression" dxfId="1118" priority="326">
      <formula>$L172="卖出"</formula>
    </cfRule>
  </conditionalFormatting>
  <conditionalFormatting sqref="T173">
    <cfRule type="expression" dxfId="1117" priority="325">
      <formula>$L173="卖出"</formula>
    </cfRule>
  </conditionalFormatting>
  <conditionalFormatting sqref="J170:J176">
    <cfRule type="expression" dxfId="1116" priority="324">
      <formula>$L170="卖出"</formula>
    </cfRule>
  </conditionalFormatting>
  <conditionalFormatting sqref="I169">
    <cfRule type="expression" dxfId="1115" priority="314">
      <formula>$L169="卖出"</formula>
    </cfRule>
  </conditionalFormatting>
  <conditionalFormatting sqref="D169">
    <cfRule type="expression" dxfId="1114" priority="318">
      <formula>$L169="卖出"</formula>
    </cfRule>
  </conditionalFormatting>
  <conditionalFormatting sqref="B169">
    <cfRule type="expression" dxfId="1113" priority="317">
      <formula>$L169="卖出"</formula>
    </cfRule>
  </conditionalFormatting>
  <conditionalFormatting sqref="C169">
    <cfRule type="expression" dxfId="1112" priority="316">
      <formula>$L169="卖出"</formula>
    </cfRule>
  </conditionalFormatting>
  <conditionalFormatting sqref="G169">
    <cfRule type="expression" dxfId="1111" priority="315">
      <formula>$L169="卖出"</formula>
    </cfRule>
  </conditionalFormatting>
  <conditionalFormatting sqref="T169">
    <cfRule type="expression" dxfId="1110" priority="313">
      <formula>$L169="卖出"</formula>
    </cfRule>
  </conditionalFormatting>
  <conditionalFormatting sqref="F169">
    <cfRule type="expression" dxfId="1109" priority="312">
      <formula>$L169="卖出"</formula>
    </cfRule>
  </conditionalFormatting>
  <conditionalFormatting sqref="J169">
    <cfRule type="expression" dxfId="1108" priority="311">
      <formula>$L169="卖出"</formula>
    </cfRule>
  </conditionalFormatting>
  <conditionalFormatting sqref="L169">
    <cfRule type="expression" dxfId="1107" priority="310">
      <formula>$L169="卖出"</formula>
    </cfRule>
  </conditionalFormatting>
  <conditionalFormatting sqref="E185">
    <cfRule type="expression" dxfId="1106" priority="303">
      <formula>$L185="卖出"</formula>
    </cfRule>
  </conditionalFormatting>
  <conditionalFormatting sqref="T185">
    <cfRule type="expression" dxfId="1105" priority="302">
      <formula>$L185="卖出"</formula>
    </cfRule>
  </conditionalFormatting>
  <conditionalFormatting sqref="F185">
    <cfRule type="expression" dxfId="1104" priority="301">
      <formula>$L185="卖出"</formula>
    </cfRule>
  </conditionalFormatting>
  <conditionalFormatting sqref="T186">
    <cfRule type="expression" dxfId="1103" priority="300">
      <formula>$L186="卖出"</formula>
    </cfRule>
  </conditionalFormatting>
  <conditionalFormatting sqref="J185">
    <cfRule type="expression" dxfId="1102" priority="283">
      <formula>$L185="卖出"</formula>
    </cfRule>
  </conditionalFormatting>
  <conditionalFormatting sqref="K90:L90">
    <cfRule type="expression" dxfId="1101" priority="250">
      <formula>$L90="卖出"</formula>
    </cfRule>
  </conditionalFormatting>
  <conditionalFormatting sqref="A90:B90">
    <cfRule type="expression" dxfId="1100" priority="4772">
      <formula>$L122="卖出"</formula>
    </cfRule>
  </conditionalFormatting>
  <conditionalFormatting sqref="T188">
    <cfRule type="expression" dxfId="1099" priority="214">
      <formula>$L188="卖出"</formula>
    </cfRule>
  </conditionalFormatting>
  <conditionalFormatting sqref="D187">
    <cfRule type="expression" dxfId="1098" priority="234">
      <formula>$L187="卖出"</formula>
    </cfRule>
  </conditionalFormatting>
  <conditionalFormatting sqref="A187">
    <cfRule type="expression" dxfId="1097" priority="240">
      <formula>$L187="卖出"</formula>
    </cfRule>
  </conditionalFormatting>
  <conditionalFormatting sqref="A188">
    <cfRule type="expression" dxfId="1096" priority="224">
      <formula>$L188="卖出"</formula>
    </cfRule>
  </conditionalFormatting>
  <conditionalFormatting sqref="E187">
    <cfRule type="expression" dxfId="1095" priority="239">
      <formula>$L187="卖出"</formula>
    </cfRule>
  </conditionalFormatting>
  <conditionalFormatting sqref="C187">
    <cfRule type="expression" dxfId="1094" priority="238">
      <formula>$L187="卖出"</formula>
    </cfRule>
  </conditionalFormatting>
  <conditionalFormatting sqref="J187 M187:O187">
    <cfRule type="expression" dxfId="1093" priority="237">
      <formula>$L187="卖出"</formula>
    </cfRule>
  </conditionalFormatting>
  <conditionalFormatting sqref="B187">
    <cfRule type="expression" dxfId="1092" priority="235">
      <formula>$L187="卖出"</formula>
    </cfRule>
  </conditionalFormatting>
  <conditionalFormatting sqref="F188">
    <cfRule type="expression" dxfId="1091" priority="218">
      <formula>$L188="卖出"</formula>
    </cfRule>
  </conditionalFormatting>
  <conditionalFormatting sqref="L188">
    <cfRule type="expression" dxfId="1090" priority="215">
      <formula>$L188="卖出"</formula>
    </cfRule>
  </conditionalFormatting>
  <conditionalFormatting sqref="G188">
    <cfRule type="expression" dxfId="1089" priority="217">
      <formula>$L188="卖出"</formula>
    </cfRule>
  </conditionalFormatting>
  <conditionalFormatting sqref="F187">
    <cfRule type="expression" dxfId="1088" priority="229">
      <formula>$L187="卖出"</formula>
    </cfRule>
  </conditionalFormatting>
  <conditionalFormatting sqref="G187">
    <cfRule type="expression" dxfId="1087" priority="228">
      <formula>$L187="卖出"</formula>
    </cfRule>
  </conditionalFormatting>
  <conditionalFormatting sqref="I187">
    <cfRule type="expression" dxfId="1086" priority="227">
      <formula>$L187="卖出"</formula>
    </cfRule>
  </conditionalFormatting>
  <conditionalFormatting sqref="L187">
    <cfRule type="expression" dxfId="1085" priority="226">
      <formula>$L187="卖出"</formula>
    </cfRule>
  </conditionalFormatting>
  <conditionalFormatting sqref="T187">
    <cfRule type="expression" dxfId="1084" priority="225">
      <formula>$L187="卖出"</formula>
    </cfRule>
  </conditionalFormatting>
  <conditionalFormatting sqref="D188">
    <cfRule type="expression" dxfId="1083" priority="219">
      <formula>$L188="卖出"</formula>
    </cfRule>
  </conditionalFormatting>
  <conditionalFormatting sqref="E188">
    <cfRule type="expression" dxfId="1082" priority="223">
      <formula>$L188="卖出"</formula>
    </cfRule>
  </conditionalFormatting>
  <conditionalFormatting sqref="C188">
    <cfRule type="expression" dxfId="1081" priority="222">
      <formula>$L188="卖出"</formula>
    </cfRule>
  </conditionalFormatting>
  <conditionalFormatting sqref="J188 M188:O188">
    <cfRule type="expression" dxfId="1080" priority="221">
      <formula>$L188="卖出"</formula>
    </cfRule>
  </conditionalFormatting>
  <conditionalFormatting sqref="B188">
    <cfRule type="expression" dxfId="1079" priority="220">
      <formula>$L188="卖出"</formula>
    </cfRule>
  </conditionalFormatting>
  <conditionalFormatting sqref="I188">
    <cfRule type="expression" dxfId="1078" priority="216">
      <formula>$L188="卖出"</formula>
    </cfRule>
  </conditionalFormatting>
  <conditionalFormatting sqref="I182:J182 L182:O182 A182:G182">
    <cfRule type="expression" dxfId="1077" priority="213">
      <formula>$L182="卖出"</formula>
    </cfRule>
  </conditionalFormatting>
  <conditionalFormatting sqref="T182">
    <cfRule type="expression" dxfId="1076" priority="212">
      <formula>$L182="卖出"</formula>
    </cfRule>
  </conditionalFormatting>
  <conditionalFormatting sqref="L149:O149 A149:G149 T149 I149:J149">
    <cfRule type="expression" dxfId="1075" priority="211">
      <formula>$L149="卖出"</formula>
    </cfRule>
  </conditionalFormatting>
  <conditionalFormatting sqref="L150:O150 A150:G150 T150 I150:J150">
    <cfRule type="expression" dxfId="1074" priority="210">
      <formula>$L150="卖出"</formula>
    </cfRule>
  </conditionalFormatting>
  <conditionalFormatting sqref="A81:O81">
    <cfRule type="expression" dxfId="1073" priority="192">
      <formula>$L81="卖出"</formula>
    </cfRule>
  </conditionalFormatting>
  <conditionalFormatting sqref="T81">
    <cfRule type="expression" dxfId="1072" priority="191">
      <formula>$L81="卖出"</formula>
    </cfRule>
  </conditionalFormatting>
  <conditionalFormatting sqref="T194 L194:O194 A194:G194 I194:J194">
    <cfRule type="expression" dxfId="1071" priority="138">
      <formula>$L194="卖出"</formula>
    </cfRule>
  </conditionalFormatting>
  <conditionalFormatting sqref="A189">
    <cfRule type="expression" dxfId="1070" priority="190">
      <formula>$L189="卖出"</formula>
    </cfRule>
  </conditionalFormatting>
  <conditionalFormatting sqref="K191">
    <cfRule type="expression" dxfId="1069" priority="142">
      <formula>$L191="卖出"</formula>
    </cfRule>
  </conditionalFormatting>
  <conditionalFormatting sqref="T193 L193:O193 A193:G193 I193:J193">
    <cfRule type="expression" dxfId="1068" priority="139">
      <formula>$L193="卖出"</formula>
    </cfRule>
  </conditionalFormatting>
  <conditionalFormatting sqref="C191">
    <cfRule type="expression" dxfId="1067" priority="141">
      <formula>$L191="卖出"</formula>
    </cfRule>
  </conditionalFormatting>
  <conditionalFormatting sqref="D191">
    <cfRule type="expression" dxfId="1066" priority="143">
      <formula>$L191="卖出"</formula>
    </cfRule>
  </conditionalFormatting>
  <conditionalFormatting sqref="T191">
    <cfRule type="expression" dxfId="1065" priority="147">
      <formula>$L191="卖出"</formula>
    </cfRule>
  </conditionalFormatting>
  <conditionalFormatting sqref="I191">
    <cfRule type="expression" dxfId="1064" priority="146">
      <formula>$L191="卖出"</formula>
    </cfRule>
  </conditionalFormatting>
  <conditionalFormatting sqref="F191">
    <cfRule type="expression" dxfId="1063" priority="144">
      <formula>$L191="卖出"</formula>
    </cfRule>
  </conditionalFormatting>
  <conditionalFormatting sqref="I192:J192 A192:G192 L192:O192 T192">
    <cfRule type="expression" dxfId="1062" priority="140">
      <formula>$L192="卖出"</formula>
    </cfRule>
  </conditionalFormatting>
  <conditionalFormatting sqref="M189:O189 E189">
    <cfRule type="expression" dxfId="1061" priority="179">
      <formula>$L189="卖出"</formula>
    </cfRule>
  </conditionalFormatting>
  <conditionalFormatting sqref="J189">
    <cfRule type="expression" dxfId="1060" priority="178">
      <formula>$L189="卖出"</formula>
    </cfRule>
  </conditionalFormatting>
  <conditionalFormatting sqref="B189">
    <cfRule type="expression" dxfId="1059" priority="177">
      <formula>$L189="卖出"</formula>
    </cfRule>
  </conditionalFormatting>
  <conditionalFormatting sqref="L189">
    <cfRule type="expression" dxfId="1058" priority="175">
      <formula>$L189="卖出"</formula>
    </cfRule>
  </conditionalFormatting>
  <conditionalFormatting sqref="D189">
    <cfRule type="expression" dxfId="1057" priority="173">
      <formula>$L189="卖出"</formula>
    </cfRule>
  </conditionalFormatting>
  <conditionalFormatting sqref="F189">
    <cfRule type="expression" dxfId="1056" priority="172">
      <formula>$L189="卖出"</formula>
    </cfRule>
  </conditionalFormatting>
  <conditionalFormatting sqref="G189">
    <cfRule type="expression" dxfId="1055" priority="171">
      <formula>$L189="卖出"</formula>
    </cfRule>
  </conditionalFormatting>
  <conditionalFormatting sqref="T189">
    <cfRule type="expression" dxfId="1054" priority="169">
      <formula>$L189="卖出"</formula>
    </cfRule>
  </conditionalFormatting>
  <conditionalFormatting sqref="I189">
    <cfRule type="expression" dxfId="1053" priority="168">
      <formula>$L189="卖出"</formula>
    </cfRule>
  </conditionalFormatting>
  <conditionalFormatting sqref="C189">
    <cfRule type="expression" dxfId="1052" priority="167">
      <formula>$L189="卖出"</formula>
    </cfRule>
  </conditionalFormatting>
  <conditionalFormatting sqref="G191">
    <cfRule type="expression" dxfId="1051" priority="148">
      <formula>$L191="卖出"</formula>
    </cfRule>
  </conditionalFormatting>
  <conditionalFormatting sqref="A191">
    <cfRule type="expression" dxfId="1050" priority="155">
      <formula>$L191="卖出"</formula>
    </cfRule>
  </conditionalFormatting>
  <conditionalFormatting sqref="M191:O191 E191">
    <cfRule type="expression" dxfId="1049" priority="154">
      <formula>$L191="卖出"</formula>
    </cfRule>
  </conditionalFormatting>
  <conditionalFormatting sqref="J191">
    <cfRule type="expression" dxfId="1048" priority="153">
      <formula>$L191="卖出"</formula>
    </cfRule>
  </conditionalFormatting>
  <conditionalFormatting sqref="B191">
    <cfRule type="expression" dxfId="1047" priority="152">
      <formula>$L191="卖出"</formula>
    </cfRule>
  </conditionalFormatting>
  <conditionalFormatting sqref="L191">
    <cfRule type="expression" dxfId="1046" priority="151">
      <formula>$L191="卖出"</formula>
    </cfRule>
  </conditionalFormatting>
  <conditionalFormatting sqref="A190">
    <cfRule type="expression" dxfId="1045" priority="137">
      <formula>$L190="卖出"</formula>
    </cfRule>
  </conditionalFormatting>
  <conditionalFormatting sqref="M190:O190 E190">
    <cfRule type="expression" dxfId="1044" priority="136">
      <formula>$L190="卖出"</formula>
    </cfRule>
  </conditionalFormatting>
  <conditionalFormatting sqref="J190">
    <cfRule type="expression" dxfId="1043" priority="135">
      <formula>$L190="卖出"</formula>
    </cfRule>
  </conditionalFormatting>
  <conditionalFormatting sqref="B190">
    <cfRule type="expression" dxfId="1042" priority="134">
      <formula>$L190="卖出"</formula>
    </cfRule>
  </conditionalFormatting>
  <conditionalFormatting sqref="L190">
    <cfRule type="expression" dxfId="1041" priority="133">
      <formula>$L190="卖出"</formula>
    </cfRule>
  </conditionalFormatting>
  <conditionalFormatting sqref="D190">
    <cfRule type="expression" dxfId="1040" priority="132">
      <formula>$L190="卖出"</formula>
    </cfRule>
  </conditionalFormatting>
  <conditionalFormatting sqref="F190">
    <cfRule type="expression" dxfId="1039" priority="131">
      <formula>$L190="卖出"</formula>
    </cfRule>
  </conditionalFormatting>
  <conditionalFormatting sqref="G190">
    <cfRule type="expression" dxfId="1038" priority="130">
      <formula>$L190="卖出"</formula>
    </cfRule>
  </conditionalFormatting>
  <conditionalFormatting sqref="T190">
    <cfRule type="expression" dxfId="1037" priority="129">
      <formula>$L190="卖出"</formula>
    </cfRule>
  </conditionalFormatting>
  <conditionalFormatting sqref="I190">
    <cfRule type="expression" dxfId="1036" priority="128">
      <formula>$L190="卖出"</formula>
    </cfRule>
  </conditionalFormatting>
  <conditionalFormatting sqref="C190">
    <cfRule type="expression" dxfId="1035" priority="127">
      <formula>$L190="卖出"</formula>
    </cfRule>
  </conditionalFormatting>
  <conditionalFormatting sqref="A195">
    <cfRule type="expression" dxfId="1034" priority="126">
      <formula>$L195="卖出"</formula>
    </cfRule>
  </conditionalFormatting>
  <conditionalFormatting sqref="E195">
    <cfRule type="expression" dxfId="1033" priority="125">
      <formula>$L195="卖出"</formula>
    </cfRule>
  </conditionalFormatting>
  <conditionalFormatting sqref="B195">
    <cfRule type="expression" dxfId="1032" priority="124">
      <formula>$L195="卖出"</formula>
    </cfRule>
  </conditionalFormatting>
  <conditionalFormatting sqref="D195">
    <cfRule type="expression" dxfId="1031" priority="123">
      <formula>$L195="卖出"</formula>
    </cfRule>
  </conditionalFormatting>
  <conditionalFormatting sqref="C195">
    <cfRule type="expression" dxfId="1030" priority="122">
      <formula>$L195="卖出"</formula>
    </cfRule>
  </conditionalFormatting>
  <conditionalFormatting sqref="F195">
    <cfRule type="expression" dxfId="1029" priority="121">
      <formula>$L195="卖出"</formula>
    </cfRule>
  </conditionalFormatting>
  <conditionalFormatting sqref="G195">
    <cfRule type="expression" dxfId="1028" priority="120">
      <formula>$L195="卖出"</formula>
    </cfRule>
  </conditionalFormatting>
  <conditionalFormatting sqref="T195 L195:O195 I195:J195">
    <cfRule type="expression" dxfId="1027" priority="119">
      <formula>$L195="卖出"</formula>
    </cfRule>
  </conditionalFormatting>
  <conditionalFormatting sqref="L108:O108 B108:J108">
    <cfRule type="expression" dxfId="1026" priority="118">
      <formula>$L108="卖出"</formula>
    </cfRule>
  </conditionalFormatting>
  <conditionalFormatting sqref="T108">
    <cfRule type="expression" dxfId="1025" priority="117">
      <formula>$L108="卖出"</formula>
    </cfRule>
  </conditionalFormatting>
  <conditionalFormatting sqref="F196">
    <cfRule type="expression" dxfId="1024" priority="86">
      <formula>$L196="卖出"</formula>
    </cfRule>
  </conditionalFormatting>
  <conditionalFormatting sqref="H196">
    <cfRule type="expression" dxfId="1023" priority="85">
      <formula>$L196="卖出"</formula>
    </cfRule>
  </conditionalFormatting>
  <conditionalFormatting sqref="A198:B207 T198:T207 D198:I207 L198:O207">
    <cfRule type="expression" dxfId="1022" priority="84">
      <formula>$L198="卖出"</formula>
    </cfRule>
  </conditionalFormatting>
  <conditionalFormatting sqref="A209:B209 T209 L209:O209 D209:I209">
    <cfRule type="expression" dxfId="1021" priority="80">
      <formula>$L209="卖出"</formula>
    </cfRule>
  </conditionalFormatting>
  <conditionalFormatting sqref="J209">
    <cfRule type="expression" dxfId="1020" priority="79">
      <formula>$L209="卖出"</formula>
    </cfRule>
  </conditionalFormatting>
  <conditionalFormatting sqref="J198:J207">
    <cfRule type="expression" dxfId="1019" priority="83">
      <formula>$L198="卖出"</formula>
    </cfRule>
  </conditionalFormatting>
  <conditionalFormatting sqref="A208:B208 T208 L208:O208 D208:I208">
    <cfRule type="expression" dxfId="1018" priority="82">
      <formula>$L208="卖出"</formula>
    </cfRule>
  </conditionalFormatting>
  <conditionalFormatting sqref="J208">
    <cfRule type="expression" dxfId="1017" priority="81">
      <formula>$L208="卖出"</formula>
    </cfRule>
  </conditionalFormatting>
  <conditionalFormatting sqref="C198:C209">
    <cfRule type="expression" dxfId="1016" priority="78">
      <formula>$L198="卖出"</formula>
    </cfRule>
  </conditionalFormatting>
  <conditionalFormatting sqref="A197:B197 T197 D197:I197 L197:O197">
    <cfRule type="expression" dxfId="1015" priority="77">
      <formula>$L197="卖出"</formula>
    </cfRule>
  </conditionalFormatting>
  <conditionalFormatting sqref="J197">
    <cfRule type="expression" dxfId="1014" priority="76">
      <formula>$L197="卖出"</formula>
    </cfRule>
  </conditionalFormatting>
  <conditionalFormatting sqref="C197">
    <cfRule type="expression" dxfId="1013" priority="75">
      <formula>$L197="卖出"</formula>
    </cfRule>
  </conditionalFormatting>
  <conditionalFormatting sqref="U198:U207">
    <cfRule type="expression" dxfId="1012" priority="74">
      <formula>$L198="卖出"</formula>
    </cfRule>
  </conditionalFormatting>
  <conditionalFormatting sqref="U209">
    <cfRule type="expression" dxfId="1011" priority="72">
      <formula>$L209="卖出"</formula>
    </cfRule>
  </conditionalFormatting>
  <conditionalFormatting sqref="U208">
    <cfRule type="expression" dxfId="1010" priority="73">
      <formula>$L208="卖出"</formula>
    </cfRule>
  </conditionalFormatting>
  <conditionalFormatting sqref="L78:O78 A78:J78">
    <cfRule type="expression" dxfId="1009" priority="27">
      <formula>$L78="卖出"</formula>
    </cfRule>
  </conditionalFormatting>
  <conditionalFormatting sqref="T78">
    <cfRule type="expression" dxfId="1008" priority="26">
      <formula>$L78="卖出"</formula>
    </cfRule>
  </conditionalFormatting>
  <conditionalFormatting sqref="T114 A114:J114 L114:O114">
    <cfRule type="expression" dxfId="1007" priority="25">
      <formula>$L114="卖出"</formula>
    </cfRule>
  </conditionalFormatting>
  <conditionalFormatting sqref="M89:O89 T89 A89:J89">
    <cfRule type="expression" dxfId="1006" priority="16">
      <formula>$L89="卖出"</formula>
    </cfRule>
  </conditionalFormatting>
  <conditionalFormatting sqref="K89:L89">
    <cfRule type="expression" dxfId="1005" priority="15">
      <formula>$L89="卖出"</formula>
    </cfRule>
  </conditionalFormatting>
  <conditionalFormatting sqref="A89:B89">
    <cfRule type="expression" dxfId="1004" priority="17">
      <formula>$L121="卖出"</formula>
    </cfRule>
  </conditionalFormatting>
  <conditionalFormatting sqref="L210">
    <cfRule type="expression" dxfId="1003" priority="7">
      <formula>$L210="卖出"</formula>
    </cfRule>
  </conditionalFormatting>
  <conditionalFormatting sqref="T210">
    <cfRule type="expression" dxfId="1002" priority="6">
      <formula>$L210="卖出"</formula>
    </cfRule>
  </conditionalFormatting>
  <conditionalFormatting sqref="I181:J181 L181:O181 T181 A181:G181">
    <cfRule type="expression" dxfId="1001" priority="5">
      <formula>$L181="卖出"</formula>
    </cfRule>
  </conditionalFormatting>
  <conditionalFormatting sqref="I211:K211 A211:F211 M211:O211">
    <cfRule type="expression" dxfId="1000" priority="4">
      <formula>$L211="卖出"</formula>
    </cfRule>
  </conditionalFormatting>
  <conditionalFormatting sqref="L211">
    <cfRule type="expression" dxfId="999" priority="3">
      <formula>$L211="卖出"</formula>
    </cfRule>
  </conditionalFormatting>
  <conditionalFormatting sqref="T211">
    <cfRule type="expression" dxfId="998" priority="2">
      <formula>$L211="卖出"</formula>
    </cfRule>
  </conditionalFormatting>
  <conditionalFormatting sqref="G211">
    <cfRule type="expression" dxfId="997" priority="1">
      <formula>$L211="卖出"</formula>
    </cfRule>
  </conditionalFormatting>
  <dataValidations count="2">
    <dataValidation type="list" allowBlank="1" showInputMessage="1" showErrorMessage="1" sqref="L2:L211" xr:uid="{4FD745C0-E434-4AA0-BC42-4772436060EB}">
      <formula1>"留存,卖出"</formula1>
    </dataValidation>
    <dataValidation type="list" allowBlank="1" showInputMessage="1" showErrorMessage="1" sqref="I2:I211" xr:uid="{4789DC6B-2F7F-4BBA-ACC5-618A494EC1C9}">
      <formula1>"全新,内袋未拆,拆摆,待定"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760" id="{97E9E8EE-1052-4B76-B2D2-32DBE48EC109}">
            <xm:f>'散本+未完结'!$L35="卖出"</xm:f>
            <x14:dxf>
              <fill>
                <patternFill>
                  <bgColor theme="0" tint="-0.24994659260841701"/>
                </patternFill>
              </fill>
            </x14:dxf>
          </x14:cfRule>
          <xm:sqref>A118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BAA6-4AF2-4BC1-A34C-7EA0A48D5294}">
  <dimension ref="A1:U225"/>
  <sheetViews>
    <sheetView tabSelected="1" topLeftCell="A192" workbookViewId="0">
      <selection activeCell="E208" sqref="E208"/>
    </sheetView>
  </sheetViews>
  <sheetFormatPr defaultRowHeight="14.4"/>
  <cols>
    <col min="1" max="1" width="24.33203125" customWidth="1"/>
    <col min="2" max="2" width="7.88671875" bestFit="1" customWidth="1"/>
    <col min="3" max="3" width="14.33203125" customWidth="1"/>
    <col min="4" max="4" width="14.6640625" bestFit="1" customWidth="1"/>
    <col min="5" max="7" width="12.44140625" customWidth="1"/>
    <col min="8" max="8" width="14.33203125" bestFit="1" customWidth="1"/>
    <col min="9" max="9" width="10.44140625" bestFit="1" customWidth="1"/>
    <col min="10" max="10" width="10.44140625" customWidth="1"/>
    <col min="11" max="11" width="10.44140625" bestFit="1" customWidth="1"/>
    <col min="14" max="15" width="10.44140625" bestFit="1" customWidth="1"/>
    <col min="18" max="18" width="20.44140625" bestFit="1" customWidth="1"/>
  </cols>
  <sheetData>
    <row r="1" spans="1:21" ht="16.2">
      <c r="A1" s="9" t="s">
        <v>12</v>
      </c>
      <c r="B1" s="9" t="s">
        <v>792</v>
      </c>
      <c r="C1" s="9" t="s">
        <v>1348</v>
      </c>
      <c r="D1" s="9" t="s">
        <v>791</v>
      </c>
      <c r="E1" s="9" t="s">
        <v>1347</v>
      </c>
      <c r="F1" s="9" t="s">
        <v>841</v>
      </c>
      <c r="G1" s="9" t="s">
        <v>842</v>
      </c>
      <c r="H1" s="9" t="s">
        <v>813</v>
      </c>
      <c r="I1" s="9" t="s">
        <v>7</v>
      </c>
      <c r="J1" s="9" t="s">
        <v>1422</v>
      </c>
      <c r="K1" s="9" t="s">
        <v>1345</v>
      </c>
      <c r="L1" s="9" t="s">
        <v>2</v>
      </c>
      <c r="M1" s="9" t="s">
        <v>11</v>
      </c>
      <c r="N1" s="9" t="s">
        <v>283</v>
      </c>
      <c r="O1" s="9" t="s">
        <v>3</v>
      </c>
      <c r="P1" s="9" t="s">
        <v>280</v>
      </c>
      <c r="Q1" s="9" t="s">
        <v>267</v>
      </c>
      <c r="R1" s="9" t="s">
        <v>705</v>
      </c>
    </row>
    <row r="2" spans="1:21" ht="15.6">
      <c r="A2" s="6" t="s">
        <v>1424</v>
      </c>
      <c r="B2" s="1" t="s">
        <v>1414</v>
      </c>
      <c r="C2" s="1" t="s">
        <v>1599</v>
      </c>
      <c r="D2" s="6" t="s">
        <v>1423</v>
      </c>
      <c r="E2" s="6">
        <v>1</v>
      </c>
      <c r="F2" s="6" t="s">
        <v>1274</v>
      </c>
      <c r="G2" s="1" t="s">
        <v>843</v>
      </c>
      <c r="H2" s="1" t="s">
        <v>814</v>
      </c>
      <c r="I2" s="1" t="s">
        <v>8</v>
      </c>
      <c r="J2" s="6"/>
      <c r="K2" s="6"/>
      <c r="L2" s="6" t="s">
        <v>5</v>
      </c>
      <c r="M2" s="6">
        <v>158</v>
      </c>
      <c r="N2" s="6"/>
      <c r="O2" s="6"/>
      <c r="P2" s="6"/>
      <c r="Q2" s="12"/>
      <c r="R2" s="6" t="s">
        <v>1427</v>
      </c>
      <c r="T2" s="8" t="s">
        <v>16</v>
      </c>
      <c r="U2" s="8">
        <f>SUM(M:M)</f>
        <v>20435</v>
      </c>
    </row>
    <row r="3" spans="1:21" ht="15.6">
      <c r="A3" s="6" t="s">
        <v>1424</v>
      </c>
      <c r="B3" s="1" t="s">
        <v>1414</v>
      </c>
      <c r="C3" s="1" t="s">
        <v>1599</v>
      </c>
      <c r="D3" s="6" t="s">
        <v>1423</v>
      </c>
      <c r="E3" s="6">
        <v>1</v>
      </c>
      <c r="F3" s="6" t="s">
        <v>1274</v>
      </c>
      <c r="G3" s="1" t="s">
        <v>843</v>
      </c>
      <c r="H3" s="1" t="s">
        <v>814</v>
      </c>
      <c r="I3" s="1" t="s">
        <v>8</v>
      </c>
      <c r="J3" s="6"/>
      <c r="K3" s="6"/>
      <c r="L3" s="6" t="s">
        <v>5</v>
      </c>
      <c r="M3" s="6">
        <v>135</v>
      </c>
      <c r="N3" s="6"/>
      <c r="O3" s="6"/>
      <c r="P3" s="6"/>
      <c r="Q3" s="12"/>
      <c r="R3" s="6" t="s">
        <v>711</v>
      </c>
      <c r="T3" s="8" t="s">
        <v>17</v>
      </c>
      <c r="U3" s="8">
        <f>SUM(O:O)</f>
        <v>0</v>
      </c>
    </row>
    <row r="4" spans="1:21" ht="15.6">
      <c r="A4" s="6" t="s">
        <v>1425</v>
      </c>
      <c r="B4" s="1" t="s">
        <v>1414</v>
      </c>
      <c r="C4" s="1" t="s">
        <v>1599</v>
      </c>
      <c r="D4" s="6" t="s">
        <v>1423</v>
      </c>
      <c r="E4" s="6">
        <v>1</v>
      </c>
      <c r="F4" s="6" t="s">
        <v>1274</v>
      </c>
      <c r="G4" s="1" t="s">
        <v>843</v>
      </c>
      <c r="H4" s="1" t="s">
        <v>814</v>
      </c>
      <c r="I4" s="1" t="s">
        <v>8</v>
      </c>
      <c r="J4" s="6"/>
      <c r="K4" s="6"/>
      <c r="L4" s="6" t="s">
        <v>5</v>
      </c>
      <c r="M4" s="6">
        <v>158</v>
      </c>
      <c r="N4" s="6"/>
      <c r="O4" s="6"/>
      <c r="P4" s="6"/>
      <c r="Q4" s="12"/>
      <c r="R4" s="6" t="s">
        <v>711</v>
      </c>
      <c r="T4" s="2" t="s">
        <v>281</v>
      </c>
      <c r="U4" s="8">
        <f>SUM(N:N)</f>
        <v>0</v>
      </c>
    </row>
    <row r="5" spans="1:21" ht="15.6">
      <c r="A5" s="6" t="s">
        <v>1428</v>
      </c>
      <c r="B5" s="1" t="s">
        <v>1414</v>
      </c>
      <c r="C5" s="1" t="s">
        <v>1599</v>
      </c>
      <c r="D5" s="6" t="s">
        <v>1423</v>
      </c>
      <c r="E5" s="6">
        <v>1</v>
      </c>
      <c r="F5" s="6" t="s">
        <v>1274</v>
      </c>
      <c r="G5" s="1" t="s">
        <v>843</v>
      </c>
      <c r="H5" s="1" t="s">
        <v>814</v>
      </c>
      <c r="I5" s="1" t="s">
        <v>8</v>
      </c>
      <c r="J5" s="6"/>
      <c r="K5" s="6"/>
      <c r="L5" s="6" t="s">
        <v>5</v>
      </c>
      <c r="M5" s="6"/>
      <c r="N5" s="6"/>
      <c r="O5" s="6"/>
      <c r="P5" s="6"/>
      <c r="Q5" s="12"/>
      <c r="R5" s="6" t="s">
        <v>711</v>
      </c>
      <c r="T5" s="8" t="s">
        <v>280</v>
      </c>
      <c r="U5" s="8">
        <f>SUM(P:P)</f>
        <v>0</v>
      </c>
    </row>
    <row r="6" spans="1:21" ht="15.6">
      <c r="A6" s="6" t="s">
        <v>1429</v>
      </c>
      <c r="B6" s="1" t="s">
        <v>1414</v>
      </c>
      <c r="C6" s="1" t="s">
        <v>1599</v>
      </c>
      <c r="D6" s="6" t="s">
        <v>1423</v>
      </c>
      <c r="E6" s="6">
        <v>1</v>
      </c>
      <c r="F6" s="6" t="s">
        <v>1274</v>
      </c>
      <c r="G6" s="1" t="s">
        <v>843</v>
      </c>
      <c r="H6" s="1" t="s">
        <v>814</v>
      </c>
      <c r="I6" s="1" t="s">
        <v>8</v>
      </c>
      <c r="J6" s="6"/>
      <c r="K6" s="6"/>
      <c r="L6" s="6" t="s">
        <v>5</v>
      </c>
      <c r="M6" s="6"/>
      <c r="N6" s="6"/>
      <c r="O6" s="6"/>
      <c r="P6" s="6"/>
      <c r="Q6" s="12"/>
      <c r="R6" s="6"/>
      <c r="T6" s="2" t="s">
        <v>267</v>
      </c>
      <c r="U6" s="7" t="e">
        <f>ROUND(U5/U4,4)</f>
        <v>#DIV/0!</v>
      </c>
    </row>
    <row r="7" spans="1:21" ht="15.6">
      <c r="A7" s="6" t="s">
        <v>1232</v>
      </c>
      <c r="B7" s="1" t="s">
        <v>269</v>
      </c>
      <c r="C7" s="1" t="s">
        <v>1475</v>
      </c>
      <c r="D7" s="6" t="s">
        <v>790</v>
      </c>
      <c r="E7" s="6">
        <v>7</v>
      </c>
      <c r="F7" s="6" t="s">
        <v>1265</v>
      </c>
      <c r="G7" s="6" t="s">
        <v>844</v>
      </c>
      <c r="H7" s="6" t="s">
        <v>816</v>
      </c>
      <c r="I7" s="1" t="s">
        <v>8</v>
      </c>
      <c r="J7" s="6"/>
      <c r="L7" s="6" t="s">
        <v>5</v>
      </c>
      <c r="M7" s="6">
        <v>331</v>
      </c>
      <c r="R7" s="1" t="s">
        <v>519</v>
      </c>
      <c r="T7" s="8" t="s">
        <v>18</v>
      </c>
      <c r="U7" s="8">
        <f>U2-U3</f>
        <v>20435</v>
      </c>
    </row>
    <row r="8" spans="1:21" ht="15.6">
      <c r="A8" s="6" t="s">
        <v>1233</v>
      </c>
      <c r="B8" s="1" t="s">
        <v>269</v>
      </c>
      <c r="C8" s="1" t="s">
        <v>1475</v>
      </c>
      <c r="D8" s="6" t="s">
        <v>790</v>
      </c>
      <c r="E8" s="6">
        <v>1</v>
      </c>
      <c r="F8" s="6" t="s">
        <v>1265</v>
      </c>
      <c r="G8" s="6" t="s">
        <v>844</v>
      </c>
      <c r="H8" s="6" t="s">
        <v>816</v>
      </c>
      <c r="I8" s="1" t="s">
        <v>8</v>
      </c>
      <c r="J8" s="6"/>
      <c r="L8" s="6" t="s">
        <v>5</v>
      </c>
      <c r="M8" s="6"/>
      <c r="R8" s="1" t="s">
        <v>1174</v>
      </c>
    </row>
    <row r="9" spans="1:21" ht="15.6">
      <c r="A9" s="6" t="s">
        <v>1234</v>
      </c>
      <c r="B9" s="1" t="s">
        <v>799</v>
      </c>
      <c r="C9" s="1" t="s">
        <v>1475</v>
      </c>
      <c r="D9" s="6" t="s">
        <v>790</v>
      </c>
      <c r="E9" s="6">
        <v>8</v>
      </c>
      <c r="F9" s="6" t="s">
        <v>1265</v>
      </c>
      <c r="G9" s="6" t="s">
        <v>844</v>
      </c>
      <c r="H9" s="6" t="s">
        <v>829</v>
      </c>
      <c r="I9" s="1" t="s">
        <v>8</v>
      </c>
      <c r="J9" s="6"/>
      <c r="K9" s="6"/>
      <c r="L9" s="6" t="s">
        <v>5</v>
      </c>
      <c r="M9" s="6">
        <v>278</v>
      </c>
      <c r="N9" s="6"/>
      <c r="O9" s="6"/>
      <c r="P9" s="6"/>
      <c r="Q9" s="12"/>
      <c r="R9" s="6" t="s">
        <v>706</v>
      </c>
    </row>
    <row r="10" spans="1:21" ht="15.6">
      <c r="A10" s="6" t="s">
        <v>1266</v>
      </c>
      <c r="B10" s="1" t="s">
        <v>799</v>
      </c>
      <c r="C10" s="1" t="s">
        <v>1475</v>
      </c>
      <c r="D10" s="6" t="s">
        <v>790</v>
      </c>
      <c r="E10" s="6">
        <v>1</v>
      </c>
      <c r="F10" s="6" t="s">
        <v>1265</v>
      </c>
      <c r="G10" s="6" t="s">
        <v>844</v>
      </c>
      <c r="H10" s="6" t="s">
        <v>829</v>
      </c>
      <c r="I10" s="1" t="s">
        <v>8</v>
      </c>
      <c r="J10" s="6"/>
      <c r="K10" s="6"/>
      <c r="L10" s="6" t="s">
        <v>5</v>
      </c>
      <c r="M10" s="6">
        <v>29</v>
      </c>
      <c r="N10" s="6"/>
      <c r="O10" s="6"/>
      <c r="P10" s="6"/>
      <c r="Q10" s="12"/>
      <c r="R10" s="6" t="s">
        <v>706</v>
      </c>
    </row>
    <row r="11" spans="1:21" ht="15.6">
      <c r="A11" s="6" t="s">
        <v>1516</v>
      </c>
      <c r="B11" s="1" t="s">
        <v>799</v>
      </c>
      <c r="C11" s="1" t="s">
        <v>1475</v>
      </c>
      <c r="D11" s="6" t="s">
        <v>790</v>
      </c>
      <c r="E11" s="6">
        <v>1</v>
      </c>
      <c r="F11" s="6" t="s">
        <v>1265</v>
      </c>
      <c r="G11" s="6" t="s">
        <v>844</v>
      </c>
      <c r="H11" s="6" t="s">
        <v>829</v>
      </c>
      <c r="I11" s="1" t="s">
        <v>8</v>
      </c>
      <c r="J11" s="6" t="s">
        <v>1503</v>
      </c>
      <c r="K11" s="6"/>
      <c r="L11" s="6" t="s">
        <v>5</v>
      </c>
      <c r="M11" s="6">
        <v>99</v>
      </c>
      <c r="N11" s="6"/>
      <c r="O11" s="6"/>
      <c r="P11" s="6"/>
      <c r="Q11" s="12"/>
      <c r="R11" s="6" t="s">
        <v>711</v>
      </c>
    </row>
    <row r="12" spans="1:21" ht="15.6">
      <c r="A12" s="6" t="s">
        <v>1268</v>
      </c>
      <c r="B12" s="1" t="s">
        <v>269</v>
      </c>
      <c r="C12" s="1" t="s">
        <v>1475</v>
      </c>
      <c r="D12" s="6" t="s">
        <v>790</v>
      </c>
      <c r="E12" s="6">
        <v>38</v>
      </c>
      <c r="F12" s="6" t="s">
        <v>1264</v>
      </c>
      <c r="G12" s="6" t="s">
        <v>844</v>
      </c>
      <c r="H12" s="1" t="s">
        <v>825</v>
      </c>
      <c r="I12" s="1" t="s">
        <v>8</v>
      </c>
      <c r="J12" s="6"/>
      <c r="L12" s="6" t="s">
        <v>5</v>
      </c>
      <c r="M12" s="6">
        <v>535</v>
      </c>
      <c r="R12" s="1" t="s">
        <v>519</v>
      </c>
    </row>
    <row r="13" spans="1:21" ht="15.6">
      <c r="A13" s="6" t="s">
        <v>1231</v>
      </c>
      <c r="B13" s="1" t="s">
        <v>269</v>
      </c>
      <c r="C13" s="1" t="s">
        <v>1477</v>
      </c>
      <c r="D13" s="6" t="s">
        <v>790</v>
      </c>
      <c r="E13" s="6">
        <v>12</v>
      </c>
      <c r="F13" s="6" t="s">
        <v>1265</v>
      </c>
      <c r="G13" s="6" t="s">
        <v>844</v>
      </c>
      <c r="H13" s="6" t="s">
        <v>821</v>
      </c>
      <c r="I13" s="1" t="s">
        <v>8</v>
      </c>
      <c r="J13" s="6"/>
      <c r="K13" s="6"/>
      <c r="L13" s="6" t="s">
        <v>5</v>
      </c>
      <c r="M13" s="6">
        <v>254</v>
      </c>
      <c r="N13" s="6"/>
      <c r="O13" s="6"/>
      <c r="P13" s="6"/>
      <c r="Q13" s="12"/>
      <c r="R13" s="6" t="s">
        <v>706</v>
      </c>
    </row>
    <row r="14" spans="1:21" ht="15.6">
      <c r="A14" s="6" t="s">
        <v>1436</v>
      </c>
      <c r="B14" s="1" t="s">
        <v>269</v>
      </c>
      <c r="C14" s="1" t="s">
        <v>1477</v>
      </c>
      <c r="D14" s="6" t="s">
        <v>790</v>
      </c>
      <c r="E14" s="6">
        <v>1</v>
      </c>
      <c r="F14" s="6" t="s">
        <v>1265</v>
      </c>
      <c r="G14" s="6" t="s">
        <v>844</v>
      </c>
      <c r="H14" s="6" t="s">
        <v>821</v>
      </c>
      <c r="I14" s="1" t="s">
        <v>8</v>
      </c>
      <c r="J14" s="6"/>
      <c r="K14" s="6"/>
      <c r="L14" s="6" t="s">
        <v>5</v>
      </c>
      <c r="M14" s="6">
        <v>20</v>
      </c>
      <c r="N14" s="6"/>
      <c r="O14" s="6"/>
      <c r="P14" s="6"/>
      <c r="Q14" s="12"/>
      <c r="R14" s="6" t="s">
        <v>711</v>
      </c>
    </row>
    <row r="15" spans="1:21" ht="15.6">
      <c r="A15" s="6" t="s">
        <v>1594</v>
      </c>
      <c r="B15" s="1" t="s">
        <v>269</v>
      </c>
      <c r="C15" s="1" t="s">
        <v>1477</v>
      </c>
      <c r="D15" s="6" t="s">
        <v>790</v>
      </c>
      <c r="E15" s="6">
        <v>1</v>
      </c>
      <c r="F15" s="6" t="s">
        <v>1265</v>
      </c>
      <c r="G15" s="6" t="s">
        <v>844</v>
      </c>
      <c r="H15" s="6" t="s">
        <v>821</v>
      </c>
      <c r="I15" s="1" t="s">
        <v>8</v>
      </c>
      <c r="J15" s="6"/>
      <c r="K15" s="6"/>
      <c r="L15" s="6" t="s">
        <v>5</v>
      </c>
      <c r="M15" s="6">
        <v>21</v>
      </c>
      <c r="N15" s="6"/>
      <c r="O15" s="6"/>
      <c r="P15" s="6"/>
      <c r="Q15" s="12"/>
      <c r="R15" s="6" t="s">
        <v>793</v>
      </c>
    </row>
    <row r="16" spans="1:21" ht="15.6">
      <c r="A16" s="6" t="s">
        <v>1595</v>
      </c>
      <c r="B16" s="1" t="s">
        <v>269</v>
      </c>
      <c r="C16" s="1" t="s">
        <v>1477</v>
      </c>
      <c r="D16" s="6" t="s">
        <v>790</v>
      </c>
      <c r="E16" s="6">
        <v>1</v>
      </c>
      <c r="F16" s="6" t="s">
        <v>1265</v>
      </c>
      <c r="G16" s="6" t="s">
        <v>844</v>
      </c>
      <c r="H16" s="6" t="s">
        <v>821</v>
      </c>
      <c r="I16" s="1" t="s">
        <v>8</v>
      </c>
      <c r="J16" s="6"/>
      <c r="K16" s="6"/>
      <c r="L16" s="6" t="s">
        <v>5</v>
      </c>
      <c r="M16" s="6"/>
      <c r="N16" s="6"/>
      <c r="O16" s="6"/>
      <c r="P16" s="6"/>
      <c r="Q16" s="12"/>
      <c r="R16" s="6"/>
    </row>
    <row r="17" spans="1:18" ht="15.6">
      <c r="A17" s="6" t="s">
        <v>1596</v>
      </c>
      <c r="B17" s="1" t="s">
        <v>269</v>
      </c>
      <c r="C17" s="1" t="s">
        <v>1477</v>
      </c>
      <c r="D17" s="6" t="s">
        <v>790</v>
      </c>
      <c r="E17" s="6">
        <v>1</v>
      </c>
      <c r="F17" s="6" t="s">
        <v>1265</v>
      </c>
      <c r="G17" s="6" t="s">
        <v>844</v>
      </c>
      <c r="H17" s="6" t="s">
        <v>821</v>
      </c>
      <c r="I17" s="1" t="s">
        <v>8</v>
      </c>
      <c r="J17" s="6"/>
      <c r="K17" s="6"/>
      <c r="L17" s="6" t="s">
        <v>5</v>
      </c>
      <c r="M17" s="6"/>
      <c r="N17" s="6"/>
      <c r="O17" s="6"/>
      <c r="P17" s="6"/>
      <c r="Q17" s="12"/>
      <c r="R17" s="6"/>
    </row>
    <row r="18" spans="1:18" ht="15.6">
      <c r="A18" s="6" t="s">
        <v>1597</v>
      </c>
      <c r="B18" s="1" t="s">
        <v>269</v>
      </c>
      <c r="C18" s="1" t="s">
        <v>1477</v>
      </c>
      <c r="D18" s="6" t="s">
        <v>790</v>
      </c>
      <c r="E18" s="6">
        <v>1</v>
      </c>
      <c r="F18" s="6" t="s">
        <v>1265</v>
      </c>
      <c r="G18" s="6" t="s">
        <v>844</v>
      </c>
      <c r="H18" s="6" t="s">
        <v>821</v>
      </c>
      <c r="I18" s="1" t="s">
        <v>8</v>
      </c>
      <c r="J18" s="6"/>
      <c r="K18" s="6"/>
      <c r="L18" s="6" t="s">
        <v>5</v>
      </c>
      <c r="M18" s="6"/>
      <c r="N18" s="6"/>
      <c r="O18" s="6"/>
      <c r="P18" s="6"/>
      <c r="Q18" s="12"/>
      <c r="R18" s="6"/>
    </row>
    <row r="19" spans="1:18" ht="15.6">
      <c r="A19" s="6" t="s">
        <v>1183</v>
      </c>
      <c r="B19" s="1" t="s">
        <v>269</v>
      </c>
      <c r="C19" s="1" t="s">
        <v>1477</v>
      </c>
      <c r="D19" s="6" t="s">
        <v>790</v>
      </c>
      <c r="E19" s="6">
        <v>6</v>
      </c>
      <c r="F19" s="6" t="s">
        <v>1265</v>
      </c>
      <c r="G19" s="6" t="s">
        <v>844</v>
      </c>
      <c r="H19" s="1" t="s">
        <v>821</v>
      </c>
      <c r="I19" s="1" t="s">
        <v>8</v>
      </c>
      <c r="J19" s="6"/>
      <c r="L19" s="6" t="s">
        <v>5</v>
      </c>
      <c r="M19" s="6">
        <v>211</v>
      </c>
      <c r="R19" s="6" t="s">
        <v>711</v>
      </c>
    </row>
    <row r="20" spans="1:18" ht="15.6">
      <c r="A20" s="6" t="s">
        <v>1592</v>
      </c>
      <c r="B20" s="1" t="s">
        <v>269</v>
      </c>
      <c r="C20" s="1" t="s">
        <v>1475</v>
      </c>
      <c r="D20" s="6" t="s">
        <v>790</v>
      </c>
      <c r="E20" s="6">
        <v>1</v>
      </c>
      <c r="F20" s="6" t="s">
        <v>1265</v>
      </c>
      <c r="G20" s="6" t="s">
        <v>844</v>
      </c>
      <c r="H20" s="6" t="s">
        <v>819</v>
      </c>
      <c r="I20" s="1" t="s">
        <v>8</v>
      </c>
      <c r="J20" s="6"/>
      <c r="K20" s="6"/>
      <c r="L20" s="6" t="s">
        <v>5</v>
      </c>
      <c r="M20" s="6">
        <v>19</v>
      </c>
      <c r="N20" s="6"/>
      <c r="O20" s="6"/>
      <c r="P20" s="6"/>
      <c r="Q20" s="12"/>
      <c r="R20" s="6" t="s">
        <v>711</v>
      </c>
    </row>
    <row r="21" spans="1:18" ht="15.6">
      <c r="A21" s="6" t="s">
        <v>1591</v>
      </c>
      <c r="B21" s="1" t="s">
        <v>269</v>
      </c>
      <c r="C21" s="1" t="s">
        <v>1475</v>
      </c>
      <c r="D21" s="6" t="s">
        <v>790</v>
      </c>
      <c r="E21" s="6">
        <v>1</v>
      </c>
      <c r="F21" s="6" t="s">
        <v>1265</v>
      </c>
      <c r="G21" s="6" t="s">
        <v>844</v>
      </c>
      <c r="H21" s="6" t="s">
        <v>819</v>
      </c>
      <c r="I21" s="1" t="s">
        <v>8</v>
      </c>
      <c r="J21" s="6"/>
      <c r="K21" s="6"/>
      <c r="L21" s="6" t="s">
        <v>5</v>
      </c>
      <c r="M21" s="6">
        <v>14</v>
      </c>
      <c r="N21" s="6"/>
      <c r="O21" s="6"/>
      <c r="P21" s="6"/>
      <c r="Q21" s="12"/>
      <c r="R21" s="6" t="s">
        <v>711</v>
      </c>
    </row>
    <row r="22" spans="1:18" ht="15.6">
      <c r="A22" s="6" t="s">
        <v>1590</v>
      </c>
      <c r="B22" s="1" t="s">
        <v>269</v>
      </c>
      <c r="C22" s="1" t="s">
        <v>1475</v>
      </c>
      <c r="D22" s="6" t="s">
        <v>790</v>
      </c>
      <c r="E22" s="6">
        <v>1</v>
      </c>
      <c r="F22" s="6" t="s">
        <v>1265</v>
      </c>
      <c r="G22" s="6" t="s">
        <v>844</v>
      </c>
      <c r="H22" s="6" t="s">
        <v>819</v>
      </c>
      <c r="I22" s="1" t="s">
        <v>8</v>
      </c>
      <c r="J22" s="6" t="s">
        <v>1503</v>
      </c>
      <c r="K22" s="6"/>
      <c r="L22" s="6" t="s">
        <v>5</v>
      </c>
      <c r="M22" s="6">
        <v>35</v>
      </c>
      <c r="N22" s="6"/>
      <c r="O22" s="6"/>
      <c r="P22" s="6"/>
      <c r="Q22" s="12"/>
      <c r="R22" s="6" t="s">
        <v>711</v>
      </c>
    </row>
    <row r="23" spans="1:18" ht="15.6">
      <c r="A23" s="6" t="s">
        <v>1228</v>
      </c>
      <c r="B23" s="1" t="s">
        <v>269</v>
      </c>
      <c r="C23" s="1" t="s">
        <v>1475</v>
      </c>
      <c r="D23" s="6" t="s">
        <v>795</v>
      </c>
      <c r="E23" s="6">
        <v>1</v>
      </c>
      <c r="F23" s="6" t="s">
        <v>1265</v>
      </c>
      <c r="G23" s="6" t="s">
        <v>844</v>
      </c>
      <c r="H23" s="1" t="s">
        <v>848</v>
      </c>
      <c r="I23" s="1" t="s">
        <v>8</v>
      </c>
      <c r="J23" s="6"/>
      <c r="L23" s="6" t="s">
        <v>5</v>
      </c>
      <c r="M23" s="6"/>
      <c r="R23" s="1" t="s">
        <v>1442</v>
      </c>
    </row>
    <row r="24" spans="1:18" ht="15.6">
      <c r="A24" s="6" t="s">
        <v>1208</v>
      </c>
      <c r="B24" s="1" t="s">
        <v>269</v>
      </c>
      <c r="C24" s="1" t="s">
        <v>1477</v>
      </c>
      <c r="D24" s="6" t="s">
        <v>1011</v>
      </c>
      <c r="E24" s="6">
        <v>8</v>
      </c>
      <c r="F24" s="1" t="s">
        <v>1263</v>
      </c>
      <c r="G24" s="1" t="s">
        <v>843</v>
      </c>
      <c r="H24" s="1" t="s">
        <v>1013</v>
      </c>
      <c r="I24" s="1" t="s">
        <v>8</v>
      </c>
      <c r="J24" s="6"/>
      <c r="K24" s="1" t="s">
        <v>1345</v>
      </c>
      <c r="L24" s="6" t="s">
        <v>5</v>
      </c>
      <c r="M24" s="6">
        <v>202</v>
      </c>
      <c r="R24" s="1" t="s">
        <v>1012</v>
      </c>
    </row>
    <row r="25" spans="1:18" ht="15.6">
      <c r="A25" s="6" t="s">
        <v>1271</v>
      </c>
      <c r="B25" s="1" t="s">
        <v>269</v>
      </c>
      <c r="C25" s="1" t="s">
        <v>1477</v>
      </c>
      <c r="D25" s="6" t="s">
        <v>1011</v>
      </c>
      <c r="E25" s="6">
        <v>8</v>
      </c>
      <c r="F25" s="1" t="s">
        <v>1263</v>
      </c>
      <c r="G25" s="1" t="s">
        <v>843</v>
      </c>
      <c r="H25" s="1" t="s">
        <v>1013</v>
      </c>
      <c r="I25" s="1" t="s">
        <v>8</v>
      </c>
      <c r="J25" s="6"/>
      <c r="K25" s="1" t="s">
        <v>1345</v>
      </c>
      <c r="L25" s="6" t="s">
        <v>5</v>
      </c>
      <c r="M25" s="6">
        <v>445</v>
      </c>
      <c r="R25" s="6" t="s">
        <v>711</v>
      </c>
    </row>
    <row r="26" spans="1:18" ht="15.6">
      <c r="A26" s="6" t="s">
        <v>1272</v>
      </c>
      <c r="B26" s="1" t="s">
        <v>269</v>
      </c>
      <c r="C26" s="1" t="s">
        <v>1477</v>
      </c>
      <c r="D26" s="6" t="s">
        <v>1011</v>
      </c>
      <c r="E26" s="6">
        <v>8</v>
      </c>
      <c r="F26" s="1" t="s">
        <v>1263</v>
      </c>
      <c r="G26" s="1" t="s">
        <v>843</v>
      </c>
      <c r="H26" s="1" t="s">
        <v>1013</v>
      </c>
      <c r="I26" s="1" t="s">
        <v>8</v>
      </c>
      <c r="J26" s="6"/>
      <c r="K26" s="1" t="s">
        <v>1345</v>
      </c>
      <c r="L26" s="6" t="s">
        <v>5</v>
      </c>
      <c r="M26" s="6">
        <v>416</v>
      </c>
      <c r="R26" s="1" t="s">
        <v>706</v>
      </c>
    </row>
    <row r="27" spans="1:18" ht="15.6">
      <c r="A27" s="6" t="s">
        <v>1287</v>
      </c>
      <c r="B27" s="1" t="s">
        <v>269</v>
      </c>
      <c r="C27" s="1" t="s">
        <v>1477</v>
      </c>
      <c r="D27" s="6" t="s">
        <v>1011</v>
      </c>
      <c r="E27" s="6">
        <v>8</v>
      </c>
      <c r="F27" s="1" t="s">
        <v>1263</v>
      </c>
      <c r="G27" s="1" t="s">
        <v>843</v>
      </c>
      <c r="H27" s="1" t="s">
        <v>1013</v>
      </c>
      <c r="I27" s="1" t="s">
        <v>8</v>
      </c>
      <c r="J27" s="6"/>
      <c r="K27" s="1" t="s">
        <v>1345</v>
      </c>
      <c r="L27" s="6" t="s">
        <v>5</v>
      </c>
      <c r="M27" s="6">
        <v>319</v>
      </c>
      <c r="R27" s="1" t="s">
        <v>519</v>
      </c>
    </row>
    <row r="28" spans="1:18" ht="15.6">
      <c r="A28" s="6" t="s">
        <v>1309</v>
      </c>
      <c r="B28" s="1" t="s">
        <v>269</v>
      </c>
      <c r="C28" s="1" t="s">
        <v>1477</v>
      </c>
      <c r="D28" s="6" t="s">
        <v>1011</v>
      </c>
      <c r="E28" s="6">
        <v>8</v>
      </c>
      <c r="F28" s="1" t="s">
        <v>1263</v>
      </c>
      <c r="G28" s="1" t="s">
        <v>843</v>
      </c>
      <c r="H28" s="1" t="s">
        <v>1013</v>
      </c>
      <c r="I28" s="1" t="s">
        <v>8</v>
      </c>
      <c r="J28" s="6"/>
      <c r="K28" s="1" t="s">
        <v>1345</v>
      </c>
      <c r="L28" s="6" t="s">
        <v>5</v>
      </c>
      <c r="M28" s="6">
        <v>365</v>
      </c>
      <c r="R28" s="1" t="s">
        <v>706</v>
      </c>
    </row>
    <row r="29" spans="1:18" ht="15.6">
      <c r="A29" s="6" t="s">
        <v>1069</v>
      </c>
      <c r="B29" s="1" t="s">
        <v>269</v>
      </c>
      <c r="C29" s="1" t="s">
        <v>1477</v>
      </c>
      <c r="D29" s="6" t="s">
        <v>786</v>
      </c>
      <c r="E29" s="6">
        <v>8</v>
      </c>
      <c r="F29" s="1" t="s">
        <v>1263</v>
      </c>
      <c r="G29" s="1" t="s">
        <v>843</v>
      </c>
      <c r="H29" s="1" t="s">
        <v>1013</v>
      </c>
      <c r="I29" s="1" t="s">
        <v>29</v>
      </c>
      <c r="J29" s="6"/>
      <c r="L29" s="6" t="s">
        <v>5</v>
      </c>
      <c r="M29" s="6">
        <v>350</v>
      </c>
      <c r="R29" s="1" t="s">
        <v>1071</v>
      </c>
    </row>
    <row r="30" spans="1:18" ht="15.6">
      <c r="A30" s="6" t="s">
        <v>1070</v>
      </c>
      <c r="B30" s="1" t="s">
        <v>269</v>
      </c>
      <c r="C30" s="1" t="s">
        <v>1477</v>
      </c>
      <c r="D30" s="6" t="s">
        <v>786</v>
      </c>
      <c r="E30" s="6">
        <v>8</v>
      </c>
      <c r="F30" s="1" t="s">
        <v>1263</v>
      </c>
      <c r="G30" s="1" t="s">
        <v>843</v>
      </c>
      <c r="H30" s="1" t="s">
        <v>1013</v>
      </c>
      <c r="I30" s="1" t="s">
        <v>29</v>
      </c>
      <c r="J30" s="6"/>
      <c r="L30" s="6" t="s">
        <v>5</v>
      </c>
      <c r="M30" s="6">
        <v>297</v>
      </c>
      <c r="R30" s="1" t="s">
        <v>1071</v>
      </c>
    </row>
    <row r="31" spans="1:18" ht="15.6">
      <c r="A31" s="6" t="s">
        <v>1585</v>
      </c>
      <c r="B31" s="1" t="s">
        <v>269</v>
      </c>
      <c r="C31" s="1" t="s">
        <v>1479</v>
      </c>
      <c r="D31" s="6" t="s">
        <v>1273</v>
      </c>
      <c r="E31" s="6">
        <v>3</v>
      </c>
      <c r="F31" s="6" t="s">
        <v>1265</v>
      </c>
      <c r="G31" s="1" t="s">
        <v>843</v>
      </c>
      <c r="H31" s="1" t="s">
        <v>1013</v>
      </c>
      <c r="I31" s="1" t="s">
        <v>8</v>
      </c>
      <c r="J31" s="6"/>
      <c r="L31" s="6" t="s">
        <v>5</v>
      </c>
      <c r="M31" s="6">
        <v>167</v>
      </c>
      <c r="R31" s="6" t="s">
        <v>1449</v>
      </c>
    </row>
    <row r="32" spans="1:18" ht="15.6">
      <c r="A32" s="6" t="s">
        <v>1361</v>
      </c>
      <c r="B32" s="1" t="s">
        <v>269</v>
      </c>
      <c r="C32" s="1" t="s">
        <v>1477</v>
      </c>
      <c r="D32" s="6" t="s">
        <v>786</v>
      </c>
      <c r="E32" s="6">
        <v>4</v>
      </c>
      <c r="F32" s="1" t="s">
        <v>1263</v>
      </c>
      <c r="G32" s="1" t="s">
        <v>843</v>
      </c>
      <c r="H32" s="6" t="s">
        <v>1025</v>
      </c>
      <c r="I32" s="1" t="s">
        <v>8</v>
      </c>
      <c r="J32" s="6"/>
      <c r="K32" s="1" t="s">
        <v>1345</v>
      </c>
      <c r="L32" s="6" t="s">
        <v>5</v>
      </c>
      <c r="M32" s="6">
        <v>222</v>
      </c>
      <c r="R32" s="6" t="s">
        <v>711</v>
      </c>
    </row>
    <row r="33" spans="1:18" ht="15.6">
      <c r="A33" s="6" t="s">
        <v>1282</v>
      </c>
      <c r="B33" s="1" t="s">
        <v>269</v>
      </c>
      <c r="C33" s="1" t="s">
        <v>1477</v>
      </c>
      <c r="D33" s="6" t="s">
        <v>786</v>
      </c>
      <c r="E33" s="6">
        <v>4</v>
      </c>
      <c r="F33" s="1" t="s">
        <v>1263</v>
      </c>
      <c r="G33" s="1" t="s">
        <v>843</v>
      </c>
      <c r="H33" s="6" t="s">
        <v>1025</v>
      </c>
      <c r="I33" s="1" t="s">
        <v>8</v>
      </c>
      <c r="J33" s="6"/>
      <c r="K33" s="1" t="s">
        <v>1345</v>
      </c>
      <c r="L33" s="6" t="s">
        <v>5</v>
      </c>
      <c r="M33" s="6">
        <v>224</v>
      </c>
      <c r="R33" s="6" t="s">
        <v>711</v>
      </c>
    </row>
    <row r="34" spans="1:18" ht="15.6">
      <c r="A34" s="6" t="s">
        <v>1360</v>
      </c>
      <c r="B34" s="1" t="s">
        <v>269</v>
      </c>
      <c r="C34" s="1" t="s">
        <v>1477</v>
      </c>
      <c r="D34" s="6" t="s">
        <v>786</v>
      </c>
      <c r="E34" s="6">
        <v>4</v>
      </c>
      <c r="F34" s="1" t="s">
        <v>1263</v>
      </c>
      <c r="G34" s="1" t="s">
        <v>843</v>
      </c>
      <c r="H34" s="6" t="s">
        <v>1025</v>
      </c>
      <c r="I34" s="1" t="s">
        <v>8</v>
      </c>
      <c r="J34" s="6"/>
      <c r="K34" s="1" t="s">
        <v>1345</v>
      </c>
      <c r="L34" s="6" t="s">
        <v>5</v>
      </c>
      <c r="M34" s="6"/>
      <c r="R34" s="1" t="s">
        <v>706</v>
      </c>
    </row>
    <row r="35" spans="1:18" ht="15.6">
      <c r="A35" s="6" t="s">
        <v>1657</v>
      </c>
      <c r="B35" s="1" t="s">
        <v>269</v>
      </c>
      <c r="C35" s="1" t="s">
        <v>1475</v>
      </c>
      <c r="D35" s="6" t="s">
        <v>795</v>
      </c>
      <c r="E35" s="6">
        <v>1</v>
      </c>
      <c r="F35" s="6" t="s">
        <v>1265</v>
      </c>
      <c r="G35" s="6" t="s">
        <v>844</v>
      </c>
      <c r="H35" s="1" t="s">
        <v>1058</v>
      </c>
      <c r="I35" s="1" t="s">
        <v>8</v>
      </c>
      <c r="J35" s="1" t="s">
        <v>1503</v>
      </c>
      <c r="L35" s="6" t="s">
        <v>319</v>
      </c>
      <c r="M35" s="6"/>
      <c r="R35" s="6" t="s">
        <v>711</v>
      </c>
    </row>
    <row r="36" spans="1:18" ht="15.6">
      <c r="A36" s="6" t="s">
        <v>1658</v>
      </c>
      <c r="B36" s="1" t="s">
        <v>269</v>
      </c>
      <c r="C36" s="1" t="s">
        <v>1475</v>
      </c>
      <c r="D36" s="6" t="s">
        <v>795</v>
      </c>
      <c r="E36" s="6">
        <v>1</v>
      </c>
      <c r="F36" s="6" t="s">
        <v>1265</v>
      </c>
      <c r="G36" s="6" t="s">
        <v>844</v>
      </c>
      <c r="H36" s="1" t="s">
        <v>1058</v>
      </c>
      <c r="I36" s="1" t="s">
        <v>8</v>
      </c>
      <c r="J36" s="1" t="s">
        <v>1503</v>
      </c>
      <c r="L36" s="6" t="s">
        <v>319</v>
      </c>
      <c r="M36" s="6"/>
      <c r="R36" s="6" t="s">
        <v>711</v>
      </c>
    </row>
    <row r="37" spans="1:18" ht="15.6">
      <c r="A37" s="6" t="s">
        <v>1509</v>
      </c>
      <c r="B37" s="1" t="s">
        <v>269</v>
      </c>
      <c r="C37" s="1" t="s">
        <v>1475</v>
      </c>
      <c r="D37" s="6" t="s">
        <v>795</v>
      </c>
      <c r="E37" s="6">
        <v>1</v>
      </c>
      <c r="F37" s="6" t="s">
        <v>1265</v>
      </c>
      <c r="G37" s="6" t="s">
        <v>844</v>
      </c>
      <c r="H37" s="1" t="s">
        <v>1058</v>
      </c>
      <c r="I37" s="1" t="s">
        <v>8</v>
      </c>
      <c r="J37" s="1" t="s">
        <v>1503</v>
      </c>
      <c r="L37" s="6" t="s">
        <v>319</v>
      </c>
      <c r="M37" s="6">
        <v>32</v>
      </c>
      <c r="R37" s="6" t="s">
        <v>711</v>
      </c>
    </row>
    <row r="38" spans="1:18" ht="15.6">
      <c r="A38" s="6" t="s">
        <v>1218</v>
      </c>
      <c r="B38" s="1" t="s">
        <v>269</v>
      </c>
      <c r="C38" s="1" t="s">
        <v>1475</v>
      </c>
      <c r="D38" s="6" t="s">
        <v>790</v>
      </c>
      <c r="E38" s="6">
        <v>1</v>
      </c>
      <c r="F38" s="6" t="s">
        <v>1265</v>
      </c>
      <c r="G38" s="6" t="s">
        <v>844</v>
      </c>
      <c r="H38" s="1" t="s">
        <v>1062</v>
      </c>
      <c r="I38" s="1" t="s">
        <v>8</v>
      </c>
      <c r="J38" s="6"/>
      <c r="L38" s="6" t="s">
        <v>5</v>
      </c>
      <c r="M38" s="6">
        <v>42</v>
      </c>
      <c r="R38" s="6" t="s">
        <v>711</v>
      </c>
    </row>
    <row r="39" spans="1:18" ht="15.6">
      <c r="A39" s="6" t="s">
        <v>1237</v>
      </c>
      <c r="B39" s="1" t="s">
        <v>269</v>
      </c>
      <c r="C39" s="1" t="s">
        <v>1475</v>
      </c>
      <c r="D39" s="6" t="s">
        <v>790</v>
      </c>
      <c r="E39" s="6">
        <v>19</v>
      </c>
      <c r="F39" s="6" t="s">
        <v>1265</v>
      </c>
      <c r="G39" s="6" t="s">
        <v>844</v>
      </c>
      <c r="H39" s="1" t="s">
        <v>1238</v>
      </c>
      <c r="I39" s="1" t="s">
        <v>8</v>
      </c>
      <c r="J39" s="6"/>
      <c r="L39" s="6" t="s">
        <v>5</v>
      </c>
      <c r="M39" s="6">
        <v>750</v>
      </c>
      <c r="R39" t="s">
        <v>1006</v>
      </c>
    </row>
    <row r="40" spans="1:18" ht="15.6">
      <c r="A40" s="6" t="s">
        <v>1471</v>
      </c>
      <c r="B40" s="1" t="s">
        <v>269</v>
      </c>
      <c r="C40" s="1" t="s">
        <v>1475</v>
      </c>
      <c r="D40" s="6" t="s">
        <v>790</v>
      </c>
      <c r="E40" s="6">
        <v>1</v>
      </c>
      <c r="F40" s="6" t="s">
        <v>1265</v>
      </c>
      <c r="G40" s="6" t="s">
        <v>844</v>
      </c>
      <c r="H40" s="1" t="s">
        <v>1238</v>
      </c>
      <c r="I40" s="1" t="s">
        <v>8</v>
      </c>
      <c r="J40" s="6" t="s">
        <v>1643</v>
      </c>
      <c r="L40" s="6" t="s">
        <v>5</v>
      </c>
      <c r="M40" s="6">
        <v>60</v>
      </c>
      <c r="R40" t="s">
        <v>1006</v>
      </c>
    </row>
    <row r="41" spans="1:18" ht="15.6">
      <c r="A41" s="6" t="s">
        <v>1144</v>
      </c>
      <c r="B41" s="1" t="s">
        <v>269</v>
      </c>
      <c r="C41" s="1" t="s">
        <v>1475</v>
      </c>
      <c r="D41" s="6" t="s">
        <v>790</v>
      </c>
      <c r="E41" s="6">
        <v>11</v>
      </c>
      <c r="F41" s="6" t="s">
        <v>1264</v>
      </c>
      <c r="G41" s="6" t="s">
        <v>844</v>
      </c>
      <c r="H41" s="1" t="s">
        <v>1128</v>
      </c>
      <c r="I41" s="1" t="s">
        <v>8</v>
      </c>
      <c r="J41" s="6"/>
      <c r="L41" s="6" t="s">
        <v>5</v>
      </c>
      <c r="M41" s="6">
        <v>326</v>
      </c>
      <c r="R41" s="6" t="s">
        <v>711</v>
      </c>
    </row>
    <row r="42" spans="1:18" ht="15.6">
      <c r="A42" s="6" t="s">
        <v>1127</v>
      </c>
      <c r="B42" s="1" t="s">
        <v>269</v>
      </c>
      <c r="C42" s="1" t="s">
        <v>1475</v>
      </c>
      <c r="D42" s="6" t="s">
        <v>790</v>
      </c>
      <c r="E42" s="6">
        <v>1</v>
      </c>
      <c r="F42" s="6" t="s">
        <v>1264</v>
      </c>
      <c r="G42" s="6" t="s">
        <v>844</v>
      </c>
      <c r="H42" s="1" t="s">
        <v>1128</v>
      </c>
      <c r="I42" s="1" t="s">
        <v>8</v>
      </c>
      <c r="J42" s="6"/>
      <c r="L42" s="6" t="s">
        <v>5</v>
      </c>
      <c r="M42" s="6">
        <v>31</v>
      </c>
      <c r="R42" s="6" t="s">
        <v>1129</v>
      </c>
    </row>
    <row r="43" spans="1:18" ht="15.6">
      <c r="A43" s="6" t="s">
        <v>1142</v>
      </c>
      <c r="B43" s="1" t="s">
        <v>269</v>
      </c>
      <c r="C43" s="1" t="s">
        <v>1475</v>
      </c>
      <c r="D43" s="6" t="s">
        <v>790</v>
      </c>
      <c r="E43" s="6">
        <v>13</v>
      </c>
      <c r="F43" s="6" t="s">
        <v>1265</v>
      </c>
      <c r="G43" s="6" t="s">
        <v>844</v>
      </c>
      <c r="H43" s="1" t="s">
        <v>1141</v>
      </c>
      <c r="I43" s="1" t="s">
        <v>8</v>
      </c>
      <c r="J43" s="6"/>
      <c r="L43" s="6" t="s">
        <v>5</v>
      </c>
      <c r="M43" s="6">
        <v>194</v>
      </c>
      <c r="R43" s="1" t="s">
        <v>519</v>
      </c>
    </row>
    <row r="44" spans="1:18" ht="15.6">
      <c r="A44" s="6" t="s">
        <v>1143</v>
      </c>
      <c r="B44" s="1" t="s">
        <v>269</v>
      </c>
      <c r="C44" s="1" t="s">
        <v>1475</v>
      </c>
      <c r="D44" s="6" t="s">
        <v>790</v>
      </c>
      <c r="E44" s="6">
        <v>1</v>
      </c>
      <c r="F44" s="6" t="s">
        <v>1265</v>
      </c>
      <c r="G44" s="6" t="s">
        <v>844</v>
      </c>
      <c r="H44" s="1" t="s">
        <v>1141</v>
      </c>
      <c r="I44" s="1" t="s">
        <v>8</v>
      </c>
      <c r="J44" s="6"/>
      <c r="L44" s="6" t="s">
        <v>5</v>
      </c>
      <c r="M44" s="6">
        <v>31</v>
      </c>
      <c r="R44" s="1" t="s">
        <v>793</v>
      </c>
    </row>
    <row r="45" spans="1:18" ht="15.6">
      <c r="A45" s="6" t="s">
        <v>1490</v>
      </c>
      <c r="B45" s="1" t="s">
        <v>269</v>
      </c>
      <c r="C45" s="1" t="s">
        <v>1475</v>
      </c>
      <c r="D45" s="6" t="s">
        <v>790</v>
      </c>
      <c r="E45" s="6">
        <v>1</v>
      </c>
      <c r="F45" s="6" t="s">
        <v>1265</v>
      </c>
      <c r="G45" s="6" t="s">
        <v>844</v>
      </c>
      <c r="H45" s="1" t="s">
        <v>1141</v>
      </c>
      <c r="I45" s="1" t="s">
        <v>8</v>
      </c>
      <c r="J45" s="6"/>
      <c r="L45" s="6" t="s">
        <v>5</v>
      </c>
      <c r="M45" s="6">
        <v>9</v>
      </c>
      <c r="R45" s="6" t="s">
        <v>711</v>
      </c>
    </row>
    <row r="46" spans="1:18" ht="15.6">
      <c r="A46" s="6" t="s">
        <v>1245</v>
      </c>
      <c r="B46" s="1" t="s">
        <v>269</v>
      </c>
      <c r="C46" s="1" t="s">
        <v>898</v>
      </c>
      <c r="D46" s="6" t="s">
        <v>790</v>
      </c>
      <c r="E46" s="6">
        <v>30</v>
      </c>
      <c r="F46" s="6" t="s">
        <v>1265</v>
      </c>
      <c r="G46" s="6" t="s">
        <v>844</v>
      </c>
      <c r="H46" s="1" t="s">
        <v>1146</v>
      </c>
      <c r="I46" s="1" t="s">
        <v>8</v>
      </c>
      <c r="J46" s="6"/>
      <c r="L46" s="6" t="s">
        <v>5</v>
      </c>
      <c r="M46" s="6">
        <v>859</v>
      </c>
      <c r="R46" s="6" t="s">
        <v>711</v>
      </c>
    </row>
    <row r="47" spans="1:18" ht="15.6">
      <c r="A47" s="6" t="s">
        <v>1275</v>
      </c>
      <c r="B47" s="1" t="s">
        <v>269</v>
      </c>
      <c r="C47" s="1" t="s">
        <v>898</v>
      </c>
      <c r="D47" s="6" t="s">
        <v>790</v>
      </c>
      <c r="E47" s="6">
        <v>6</v>
      </c>
      <c r="F47" s="6" t="s">
        <v>1265</v>
      </c>
      <c r="G47" s="6" t="s">
        <v>844</v>
      </c>
      <c r="H47" s="1" t="s">
        <v>1187</v>
      </c>
      <c r="I47" s="1" t="s">
        <v>8</v>
      </c>
      <c r="J47" s="6"/>
      <c r="L47" s="6" t="s">
        <v>5</v>
      </c>
      <c r="M47" s="6">
        <v>247</v>
      </c>
      <c r="R47" s="6" t="s">
        <v>711</v>
      </c>
    </row>
    <row r="48" spans="1:18" ht="15.6" hidden="1">
      <c r="A48" s="6"/>
      <c r="B48" s="1"/>
      <c r="C48" s="1"/>
      <c r="D48" s="6"/>
      <c r="E48" s="6"/>
      <c r="F48" s="6"/>
      <c r="G48" s="6"/>
      <c r="H48" s="1"/>
      <c r="I48" s="1"/>
      <c r="J48" s="6"/>
      <c r="L48" s="6"/>
      <c r="M48" s="6"/>
      <c r="R48" s="6"/>
    </row>
    <row r="49" spans="1:18" ht="15.6" hidden="1">
      <c r="A49" s="6"/>
      <c r="B49" s="1"/>
      <c r="C49" s="1"/>
      <c r="D49" s="6"/>
      <c r="E49" s="6"/>
      <c r="F49" s="6"/>
      <c r="G49" s="6"/>
      <c r="H49" s="1"/>
      <c r="I49" s="1"/>
      <c r="J49" s="6"/>
      <c r="L49" s="6"/>
      <c r="M49" s="6"/>
      <c r="R49" s="1"/>
    </row>
    <row r="50" spans="1:18" ht="15.6" hidden="1">
      <c r="A50" s="6"/>
      <c r="B50" s="1"/>
      <c r="C50" s="1"/>
      <c r="D50" s="6"/>
      <c r="E50" s="6"/>
      <c r="F50" s="6"/>
      <c r="G50" s="6"/>
      <c r="H50" s="1"/>
      <c r="I50" s="1"/>
      <c r="J50" s="6"/>
      <c r="L50" s="6"/>
      <c r="M50" s="6"/>
      <c r="R50" s="6"/>
    </row>
    <row r="51" spans="1:18" ht="15.6" hidden="1">
      <c r="A51" s="6"/>
      <c r="B51" s="1"/>
      <c r="C51" s="1"/>
      <c r="D51" s="6"/>
      <c r="E51" s="6"/>
      <c r="F51" s="6"/>
      <c r="G51" s="6"/>
      <c r="H51" s="1"/>
      <c r="I51" s="1"/>
      <c r="J51" s="6"/>
      <c r="L51" s="6"/>
      <c r="M51" s="6"/>
      <c r="R51" s="6"/>
    </row>
    <row r="52" spans="1:18" ht="15.6" hidden="1">
      <c r="A52" s="6"/>
      <c r="B52" s="1"/>
      <c r="C52" s="1"/>
      <c r="D52" s="6"/>
      <c r="E52" s="6"/>
      <c r="F52" s="6"/>
      <c r="G52" s="6"/>
      <c r="H52" s="1"/>
      <c r="I52" s="1"/>
      <c r="J52" s="6"/>
      <c r="L52" s="6"/>
      <c r="M52" s="6"/>
      <c r="R52" s="1"/>
    </row>
    <row r="53" spans="1:18" ht="15.6" hidden="1">
      <c r="A53" s="6"/>
      <c r="B53" s="1"/>
      <c r="C53" s="1"/>
      <c r="D53" s="6"/>
      <c r="E53" s="6"/>
      <c r="F53" s="6"/>
      <c r="G53" s="6"/>
      <c r="H53" s="1"/>
      <c r="I53" s="1"/>
      <c r="J53" s="6"/>
      <c r="L53" s="6"/>
      <c r="M53" s="6"/>
      <c r="R53" s="1"/>
    </row>
    <row r="54" spans="1:18" ht="15.6" hidden="1">
      <c r="A54" s="6"/>
      <c r="B54" s="1"/>
      <c r="C54" s="1"/>
      <c r="D54" s="6"/>
      <c r="E54" s="6"/>
      <c r="F54" s="6"/>
      <c r="G54" s="6"/>
      <c r="H54" s="1"/>
      <c r="I54" s="1"/>
      <c r="J54" s="6"/>
      <c r="L54" s="6"/>
      <c r="M54" s="6"/>
      <c r="R54" s="1"/>
    </row>
    <row r="55" spans="1:18" ht="15.6" hidden="1">
      <c r="A55" s="6"/>
      <c r="B55" s="1"/>
      <c r="C55" s="1"/>
      <c r="D55" s="6"/>
      <c r="E55" s="6"/>
      <c r="F55" s="6"/>
      <c r="G55" s="6"/>
      <c r="H55" s="1"/>
      <c r="I55" s="1"/>
      <c r="J55" s="6"/>
      <c r="L55" s="6"/>
      <c r="M55" s="6"/>
      <c r="R55" s="6"/>
    </row>
    <row r="56" spans="1:18" ht="15.6">
      <c r="A56" s="6" t="s">
        <v>1185</v>
      </c>
      <c r="B56" s="1" t="s">
        <v>269</v>
      </c>
      <c r="C56" s="1" t="s">
        <v>1475</v>
      </c>
      <c r="D56" s="6" t="s">
        <v>790</v>
      </c>
      <c r="E56" s="6">
        <v>23</v>
      </c>
      <c r="F56" s="6" t="s">
        <v>1265</v>
      </c>
      <c r="G56" s="6" t="s">
        <v>844</v>
      </c>
      <c r="H56" s="1" t="s">
        <v>1192</v>
      </c>
      <c r="I56" s="1" t="s">
        <v>8</v>
      </c>
      <c r="J56" s="6"/>
      <c r="L56" s="6" t="s">
        <v>5</v>
      </c>
      <c r="M56" s="6">
        <v>634</v>
      </c>
      <c r="R56" s="6" t="s">
        <v>711</v>
      </c>
    </row>
    <row r="57" spans="1:18" ht="15.6">
      <c r="A57" s="6" t="s">
        <v>1466</v>
      </c>
      <c r="B57" s="1" t="s">
        <v>269</v>
      </c>
      <c r="C57" s="1" t="s">
        <v>1475</v>
      </c>
      <c r="D57" s="6" t="s">
        <v>790</v>
      </c>
      <c r="E57" s="6">
        <v>1</v>
      </c>
      <c r="F57" s="6" t="s">
        <v>1265</v>
      </c>
      <c r="G57" s="6" t="s">
        <v>844</v>
      </c>
      <c r="H57" s="1" t="s">
        <v>1192</v>
      </c>
      <c r="I57" s="1" t="s">
        <v>8</v>
      </c>
      <c r="J57" s="6"/>
      <c r="L57" s="6" t="s">
        <v>5</v>
      </c>
      <c r="M57" s="6">
        <v>55</v>
      </c>
      <c r="R57" s="6" t="s">
        <v>1006</v>
      </c>
    </row>
    <row r="58" spans="1:18" ht="15.6">
      <c r="A58" s="6" t="s">
        <v>1465</v>
      </c>
      <c r="B58" s="1" t="s">
        <v>269</v>
      </c>
      <c r="C58" s="1" t="s">
        <v>1475</v>
      </c>
      <c r="D58" s="6" t="s">
        <v>790</v>
      </c>
      <c r="E58" s="6">
        <v>1</v>
      </c>
      <c r="F58" s="6" t="s">
        <v>1265</v>
      </c>
      <c r="G58" s="6" t="s">
        <v>844</v>
      </c>
      <c r="H58" s="1" t="s">
        <v>1192</v>
      </c>
      <c r="I58" s="1" t="s">
        <v>8</v>
      </c>
      <c r="J58" s="6"/>
      <c r="L58" s="6" t="s">
        <v>5</v>
      </c>
      <c r="M58" s="6"/>
      <c r="R58" s="6" t="s">
        <v>1467</v>
      </c>
    </row>
    <row r="59" spans="1:18" ht="15.6">
      <c r="A59" s="6" t="s">
        <v>1197</v>
      </c>
      <c r="B59" s="1" t="s">
        <v>269</v>
      </c>
      <c r="C59" s="1" t="s">
        <v>1475</v>
      </c>
      <c r="D59" s="6" t="s">
        <v>790</v>
      </c>
      <c r="E59" s="6">
        <v>12</v>
      </c>
      <c r="F59" s="6" t="s">
        <v>1265</v>
      </c>
      <c r="G59" s="6" t="s">
        <v>844</v>
      </c>
      <c r="H59" s="6" t="s">
        <v>1198</v>
      </c>
      <c r="I59" s="1" t="s">
        <v>8</v>
      </c>
      <c r="J59" s="6"/>
      <c r="L59" s="6" t="s">
        <v>5</v>
      </c>
      <c r="M59" s="6">
        <v>370</v>
      </c>
      <c r="R59" s="6" t="s">
        <v>1209</v>
      </c>
    </row>
    <row r="60" spans="1:18" ht="15.6">
      <c r="A60" s="6" t="s">
        <v>1199</v>
      </c>
      <c r="B60" s="1" t="s">
        <v>269</v>
      </c>
      <c r="C60" s="1" t="s">
        <v>1482</v>
      </c>
      <c r="D60" s="6" t="s">
        <v>790</v>
      </c>
      <c r="E60" s="6">
        <v>4</v>
      </c>
      <c r="F60" s="6" t="s">
        <v>1265</v>
      </c>
      <c r="G60" s="6" t="s">
        <v>844</v>
      </c>
      <c r="H60" s="6" t="s">
        <v>1200</v>
      </c>
      <c r="I60" s="1" t="s">
        <v>8</v>
      </c>
      <c r="J60" s="6"/>
      <c r="L60" s="6" t="s">
        <v>5</v>
      </c>
      <c r="M60" s="6">
        <v>127</v>
      </c>
      <c r="R60" s="6" t="s">
        <v>1665</v>
      </c>
    </row>
    <row r="61" spans="1:18" ht="15.6">
      <c r="A61" s="6" t="s">
        <v>1211</v>
      </c>
      <c r="B61" s="1" t="s">
        <v>269</v>
      </c>
      <c r="C61" s="1" t="s">
        <v>1477</v>
      </c>
      <c r="D61" s="6" t="s">
        <v>790</v>
      </c>
      <c r="E61" s="6">
        <v>27</v>
      </c>
      <c r="F61" s="6" t="s">
        <v>1265</v>
      </c>
      <c r="G61" s="6" t="s">
        <v>844</v>
      </c>
      <c r="H61" s="6" t="s">
        <v>1210</v>
      </c>
      <c r="I61" s="1" t="s">
        <v>8</v>
      </c>
      <c r="J61" s="6"/>
      <c r="L61" s="6" t="s">
        <v>5</v>
      </c>
      <c r="M61" s="6">
        <v>1050</v>
      </c>
      <c r="R61" s="6" t="s">
        <v>1239</v>
      </c>
    </row>
    <row r="62" spans="1:18" ht="15.6">
      <c r="A62" s="6" t="s">
        <v>1745</v>
      </c>
      <c r="B62" s="1" t="s">
        <v>269</v>
      </c>
      <c r="C62" s="1" t="s">
        <v>1475</v>
      </c>
      <c r="D62" s="6" t="s">
        <v>795</v>
      </c>
      <c r="E62" s="6">
        <v>22</v>
      </c>
      <c r="F62" s="6" t="s">
        <v>1265</v>
      </c>
      <c r="G62" s="6" t="s">
        <v>844</v>
      </c>
      <c r="H62" s="6" t="s">
        <v>1277</v>
      </c>
      <c r="I62" s="1" t="s">
        <v>8</v>
      </c>
      <c r="J62" s="6" t="s">
        <v>1503</v>
      </c>
      <c r="L62" s="6" t="s">
        <v>5</v>
      </c>
      <c r="M62" s="6">
        <v>922</v>
      </c>
      <c r="R62" s="6" t="s">
        <v>711</v>
      </c>
    </row>
    <row r="63" spans="1:18" ht="15.6" hidden="1">
      <c r="A63" s="6" t="s">
        <v>1326</v>
      </c>
      <c r="B63" s="1" t="s">
        <v>269</v>
      </c>
      <c r="C63" s="1" t="s">
        <v>1475</v>
      </c>
      <c r="D63" s="6" t="s">
        <v>795</v>
      </c>
      <c r="E63" s="6">
        <v>1</v>
      </c>
      <c r="F63" s="6" t="s">
        <v>1265</v>
      </c>
      <c r="G63" s="6" t="s">
        <v>844</v>
      </c>
      <c r="H63" s="6" t="s">
        <v>1277</v>
      </c>
      <c r="I63" s="1" t="s">
        <v>8</v>
      </c>
      <c r="J63" s="6" t="s">
        <v>1503</v>
      </c>
      <c r="L63" s="6" t="s">
        <v>5</v>
      </c>
      <c r="R63" s="6" t="s">
        <v>1451</v>
      </c>
    </row>
    <row r="64" spans="1:18" ht="15.6" hidden="1">
      <c r="A64" s="6" t="s">
        <v>1327</v>
      </c>
      <c r="B64" s="1" t="s">
        <v>269</v>
      </c>
      <c r="C64" s="1" t="s">
        <v>1475</v>
      </c>
      <c r="D64" s="6" t="s">
        <v>795</v>
      </c>
      <c r="E64" s="6">
        <v>1</v>
      </c>
      <c r="F64" s="6" t="s">
        <v>1265</v>
      </c>
      <c r="G64" s="6" t="s">
        <v>844</v>
      </c>
      <c r="H64" s="6" t="s">
        <v>1277</v>
      </c>
      <c r="I64" s="1" t="s">
        <v>8</v>
      </c>
      <c r="J64" s="6" t="s">
        <v>1503</v>
      </c>
      <c r="L64" s="6" t="s">
        <v>5</v>
      </c>
      <c r="R64" s="6" t="s">
        <v>1452</v>
      </c>
    </row>
    <row r="65" spans="1:18" ht="15.6" hidden="1">
      <c r="A65" s="6" t="s">
        <v>1328</v>
      </c>
      <c r="B65" s="1" t="s">
        <v>269</v>
      </c>
      <c r="C65" s="1" t="s">
        <v>1475</v>
      </c>
      <c r="D65" s="6" t="s">
        <v>795</v>
      </c>
      <c r="E65" s="6">
        <v>1</v>
      </c>
      <c r="F65" s="6" t="s">
        <v>1265</v>
      </c>
      <c r="G65" s="6" t="s">
        <v>844</v>
      </c>
      <c r="H65" s="6" t="s">
        <v>1277</v>
      </c>
      <c r="I65" s="1" t="s">
        <v>8</v>
      </c>
      <c r="J65" s="6" t="s">
        <v>1503</v>
      </c>
      <c r="L65" s="6" t="s">
        <v>5</v>
      </c>
      <c r="R65" s="6" t="s">
        <v>1452</v>
      </c>
    </row>
    <row r="66" spans="1:18" ht="15.6" hidden="1">
      <c r="A66" s="6" t="s">
        <v>1329</v>
      </c>
      <c r="B66" s="1" t="s">
        <v>269</v>
      </c>
      <c r="C66" s="1" t="s">
        <v>1475</v>
      </c>
      <c r="D66" s="6" t="s">
        <v>795</v>
      </c>
      <c r="E66" s="6">
        <v>1</v>
      </c>
      <c r="F66" s="6" t="s">
        <v>1265</v>
      </c>
      <c r="G66" s="6" t="s">
        <v>844</v>
      </c>
      <c r="H66" s="6" t="s">
        <v>1277</v>
      </c>
      <c r="I66" s="1" t="s">
        <v>8</v>
      </c>
      <c r="J66" s="6" t="s">
        <v>1503</v>
      </c>
      <c r="L66" s="6" t="s">
        <v>5</v>
      </c>
      <c r="R66" s="6" t="s">
        <v>1452</v>
      </c>
    </row>
    <row r="67" spans="1:18" ht="15.6" hidden="1">
      <c r="A67" s="6" t="s">
        <v>1330</v>
      </c>
      <c r="B67" s="1" t="s">
        <v>269</v>
      </c>
      <c r="C67" s="1" t="s">
        <v>1475</v>
      </c>
      <c r="D67" s="6" t="s">
        <v>795</v>
      </c>
      <c r="E67" s="6">
        <v>1</v>
      </c>
      <c r="F67" s="6" t="s">
        <v>1265</v>
      </c>
      <c r="G67" s="6" t="s">
        <v>844</v>
      </c>
      <c r="H67" s="6" t="s">
        <v>1277</v>
      </c>
      <c r="I67" s="1" t="s">
        <v>8</v>
      </c>
      <c r="J67" s="6" t="s">
        <v>1503</v>
      </c>
      <c r="L67" s="6" t="s">
        <v>5</v>
      </c>
      <c r="R67" s="6" t="s">
        <v>1452</v>
      </c>
    </row>
    <row r="68" spans="1:18" ht="15.6" hidden="1">
      <c r="A68" s="6" t="s">
        <v>1331</v>
      </c>
      <c r="B68" s="1" t="s">
        <v>269</v>
      </c>
      <c r="C68" s="1" t="s">
        <v>1475</v>
      </c>
      <c r="D68" s="6" t="s">
        <v>795</v>
      </c>
      <c r="E68" s="6">
        <v>1</v>
      </c>
      <c r="F68" s="6" t="s">
        <v>1265</v>
      </c>
      <c r="G68" s="6" t="s">
        <v>844</v>
      </c>
      <c r="H68" s="6" t="s">
        <v>1277</v>
      </c>
      <c r="I68" s="1" t="s">
        <v>8</v>
      </c>
      <c r="J68" s="6" t="s">
        <v>1503</v>
      </c>
      <c r="L68" s="6" t="s">
        <v>5</v>
      </c>
      <c r="R68" s="6" t="s">
        <v>1451</v>
      </c>
    </row>
    <row r="69" spans="1:18" ht="15.6" hidden="1">
      <c r="A69" s="6" t="s">
        <v>1332</v>
      </c>
      <c r="B69" s="1" t="s">
        <v>269</v>
      </c>
      <c r="C69" s="1" t="s">
        <v>1475</v>
      </c>
      <c r="D69" s="6" t="s">
        <v>795</v>
      </c>
      <c r="E69" s="6">
        <v>1</v>
      </c>
      <c r="F69" s="6" t="s">
        <v>1265</v>
      </c>
      <c r="G69" s="6" t="s">
        <v>844</v>
      </c>
      <c r="H69" s="6" t="s">
        <v>1277</v>
      </c>
      <c r="I69" s="1" t="s">
        <v>8</v>
      </c>
      <c r="J69" s="6" t="s">
        <v>1503</v>
      </c>
      <c r="L69" s="6" t="s">
        <v>5</v>
      </c>
      <c r="R69" s="6" t="s">
        <v>1453</v>
      </c>
    </row>
    <row r="70" spans="1:18" ht="15.6" hidden="1">
      <c r="A70" s="6" t="s">
        <v>1333</v>
      </c>
      <c r="B70" s="1" t="s">
        <v>269</v>
      </c>
      <c r="C70" s="1" t="s">
        <v>1475</v>
      </c>
      <c r="D70" s="6" t="s">
        <v>795</v>
      </c>
      <c r="E70" s="6">
        <v>1</v>
      </c>
      <c r="F70" s="6" t="s">
        <v>1265</v>
      </c>
      <c r="G70" s="6" t="s">
        <v>844</v>
      </c>
      <c r="H70" s="6" t="s">
        <v>1277</v>
      </c>
      <c r="I70" s="1" t="s">
        <v>8</v>
      </c>
      <c r="J70" s="6" t="s">
        <v>1503</v>
      </c>
      <c r="L70" s="6" t="s">
        <v>5</v>
      </c>
      <c r="R70" s="6" t="s">
        <v>1454</v>
      </c>
    </row>
    <row r="71" spans="1:18" ht="15.6" hidden="1">
      <c r="A71" s="6" t="s">
        <v>1334</v>
      </c>
      <c r="B71" s="1" t="s">
        <v>269</v>
      </c>
      <c r="C71" s="1" t="s">
        <v>1475</v>
      </c>
      <c r="D71" s="6" t="s">
        <v>795</v>
      </c>
      <c r="E71" s="6">
        <v>1</v>
      </c>
      <c r="F71" s="6" t="s">
        <v>1265</v>
      </c>
      <c r="G71" s="6" t="s">
        <v>844</v>
      </c>
      <c r="H71" s="6" t="s">
        <v>1277</v>
      </c>
      <c r="I71" s="1" t="s">
        <v>8</v>
      </c>
      <c r="J71" s="6" t="s">
        <v>1503</v>
      </c>
      <c r="L71" s="6" t="s">
        <v>5</v>
      </c>
      <c r="R71" s="6" t="s">
        <v>1454</v>
      </c>
    </row>
    <row r="72" spans="1:18" ht="15.6" hidden="1">
      <c r="A72" s="6" t="s">
        <v>1335</v>
      </c>
      <c r="B72" s="1" t="s">
        <v>269</v>
      </c>
      <c r="C72" s="1" t="s">
        <v>1475</v>
      </c>
      <c r="D72" s="6" t="s">
        <v>795</v>
      </c>
      <c r="E72" s="6">
        <v>1</v>
      </c>
      <c r="F72" s="6" t="s">
        <v>1265</v>
      </c>
      <c r="G72" s="6" t="s">
        <v>844</v>
      </c>
      <c r="H72" s="6" t="s">
        <v>1277</v>
      </c>
      <c r="I72" s="1" t="s">
        <v>8</v>
      </c>
      <c r="J72" s="6" t="s">
        <v>1503</v>
      </c>
      <c r="L72" s="6" t="s">
        <v>5</v>
      </c>
      <c r="R72" s="6" t="s">
        <v>1455</v>
      </c>
    </row>
    <row r="73" spans="1:18" ht="15.6" hidden="1">
      <c r="A73" s="6" t="s">
        <v>1336</v>
      </c>
      <c r="B73" s="1" t="s">
        <v>269</v>
      </c>
      <c r="C73" s="1" t="s">
        <v>1475</v>
      </c>
      <c r="D73" s="6" t="s">
        <v>795</v>
      </c>
      <c r="E73" s="6">
        <v>1</v>
      </c>
      <c r="F73" s="6" t="s">
        <v>1265</v>
      </c>
      <c r="G73" s="6" t="s">
        <v>844</v>
      </c>
      <c r="H73" s="6" t="s">
        <v>1277</v>
      </c>
      <c r="I73" s="1" t="s">
        <v>8</v>
      </c>
      <c r="J73" s="6" t="s">
        <v>1503</v>
      </c>
      <c r="L73" s="6" t="s">
        <v>5</v>
      </c>
      <c r="R73" s="6" t="s">
        <v>1452</v>
      </c>
    </row>
    <row r="74" spans="1:18" ht="15.6" hidden="1">
      <c r="A74" s="6" t="s">
        <v>1337</v>
      </c>
      <c r="B74" s="1" t="s">
        <v>269</v>
      </c>
      <c r="C74" s="1" t="s">
        <v>1475</v>
      </c>
      <c r="D74" s="6" t="s">
        <v>795</v>
      </c>
      <c r="E74" s="6">
        <v>1</v>
      </c>
      <c r="F74" s="6" t="s">
        <v>1265</v>
      </c>
      <c r="G74" s="6" t="s">
        <v>844</v>
      </c>
      <c r="H74" s="6" t="s">
        <v>1277</v>
      </c>
      <c r="I74" s="1" t="s">
        <v>8</v>
      </c>
      <c r="J74" s="6" t="s">
        <v>1503</v>
      </c>
      <c r="L74" s="6" t="s">
        <v>5</v>
      </c>
      <c r="R74" s="6" t="s">
        <v>1456</v>
      </c>
    </row>
    <row r="75" spans="1:18" ht="15.6" hidden="1">
      <c r="A75" s="6" t="s">
        <v>1338</v>
      </c>
      <c r="B75" s="1" t="s">
        <v>269</v>
      </c>
      <c r="C75" s="1" t="s">
        <v>1475</v>
      </c>
      <c r="D75" s="6" t="s">
        <v>795</v>
      </c>
      <c r="E75" s="6">
        <v>1</v>
      </c>
      <c r="F75" s="6" t="s">
        <v>1265</v>
      </c>
      <c r="G75" s="6" t="s">
        <v>844</v>
      </c>
      <c r="H75" s="6" t="s">
        <v>1277</v>
      </c>
      <c r="I75" s="1" t="s">
        <v>8</v>
      </c>
      <c r="J75" s="6" t="s">
        <v>1503</v>
      </c>
      <c r="L75" s="6" t="s">
        <v>5</v>
      </c>
      <c r="R75" s="6" t="s">
        <v>1453</v>
      </c>
    </row>
    <row r="76" spans="1:18" ht="15.6" hidden="1">
      <c r="A76" s="6" t="s">
        <v>1339</v>
      </c>
      <c r="B76" s="1" t="s">
        <v>269</v>
      </c>
      <c r="C76" s="1" t="s">
        <v>1475</v>
      </c>
      <c r="D76" s="6" t="s">
        <v>795</v>
      </c>
      <c r="E76" s="6">
        <v>1</v>
      </c>
      <c r="F76" s="6" t="s">
        <v>1265</v>
      </c>
      <c r="G76" s="6" t="s">
        <v>844</v>
      </c>
      <c r="H76" s="6" t="s">
        <v>1277</v>
      </c>
      <c r="I76" s="1" t="s">
        <v>8</v>
      </c>
      <c r="J76" s="6" t="s">
        <v>1503</v>
      </c>
      <c r="L76" s="6" t="s">
        <v>5</v>
      </c>
      <c r="R76" s="6" t="s">
        <v>1451</v>
      </c>
    </row>
    <row r="77" spans="1:18" ht="15.6" hidden="1">
      <c r="A77" s="6" t="s">
        <v>1340</v>
      </c>
      <c r="B77" s="1" t="s">
        <v>269</v>
      </c>
      <c r="C77" s="1" t="s">
        <v>1475</v>
      </c>
      <c r="D77" s="6" t="s">
        <v>795</v>
      </c>
      <c r="E77" s="6">
        <v>1</v>
      </c>
      <c r="F77" s="6" t="s">
        <v>1265</v>
      </c>
      <c r="G77" s="6" t="s">
        <v>844</v>
      </c>
      <c r="H77" s="6" t="s">
        <v>1277</v>
      </c>
      <c r="I77" s="1" t="s">
        <v>8</v>
      </c>
      <c r="J77" s="6" t="s">
        <v>1503</v>
      </c>
      <c r="L77" s="6" t="s">
        <v>5</v>
      </c>
      <c r="R77" s="6" t="s">
        <v>1457</v>
      </c>
    </row>
    <row r="78" spans="1:18" ht="15.6" hidden="1">
      <c r="A78" s="6" t="s">
        <v>1341</v>
      </c>
      <c r="B78" s="1" t="s">
        <v>269</v>
      </c>
      <c r="C78" s="1" t="s">
        <v>1475</v>
      </c>
      <c r="D78" s="6" t="s">
        <v>795</v>
      </c>
      <c r="E78" s="6">
        <v>1</v>
      </c>
      <c r="F78" s="6" t="s">
        <v>1265</v>
      </c>
      <c r="G78" s="6" t="s">
        <v>844</v>
      </c>
      <c r="H78" s="6" t="s">
        <v>1277</v>
      </c>
      <c r="I78" s="1" t="s">
        <v>8</v>
      </c>
      <c r="J78" s="6" t="s">
        <v>1503</v>
      </c>
      <c r="L78" s="6" t="s">
        <v>5</v>
      </c>
      <c r="R78" s="6" t="s">
        <v>1451</v>
      </c>
    </row>
    <row r="79" spans="1:18" ht="15.6" hidden="1">
      <c r="A79" s="6" t="s">
        <v>1342</v>
      </c>
      <c r="B79" s="1" t="s">
        <v>269</v>
      </c>
      <c r="C79" s="1" t="s">
        <v>1475</v>
      </c>
      <c r="D79" s="6" t="s">
        <v>795</v>
      </c>
      <c r="E79" s="6">
        <v>1</v>
      </c>
      <c r="F79" s="6" t="s">
        <v>1265</v>
      </c>
      <c r="G79" s="6" t="s">
        <v>844</v>
      </c>
      <c r="H79" s="6" t="s">
        <v>1277</v>
      </c>
      <c r="I79" s="1" t="s">
        <v>8</v>
      </c>
      <c r="J79" s="6" t="s">
        <v>1503</v>
      </c>
      <c r="L79" s="6" t="s">
        <v>5</v>
      </c>
      <c r="R79" s="6" t="s">
        <v>1458</v>
      </c>
    </row>
    <row r="80" spans="1:18" ht="15.6" hidden="1">
      <c r="A80" s="6" t="s">
        <v>1343</v>
      </c>
      <c r="B80" s="1" t="s">
        <v>269</v>
      </c>
      <c r="C80" s="1" t="s">
        <v>1475</v>
      </c>
      <c r="D80" s="6" t="s">
        <v>795</v>
      </c>
      <c r="E80" s="6">
        <v>1</v>
      </c>
      <c r="F80" s="6" t="s">
        <v>1265</v>
      </c>
      <c r="G80" s="6" t="s">
        <v>844</v>
      </c>
      <c r="H80" s="6" t="s">
        <v>1277</v>
      </c>
      <c r="I80" s="1" t="s">
        <v>8</v>
      </c>
      <c r="J80" s="6" t="s">
        <v>1503</v>
      </c>
      <c r="L80" s="6" t="s">
        <v>5</v>
      </c>
      <c r="R80" s="6" t="s">
        <v>1451</v>
      </c>
    </row>
    <row r="81" spans="1:19" ht="15.6" hidden="1">
      <c r="A81" s="6" t="s">
        <v>1344</v>
      </c>
      <c r="B81" s="1" t="s">
        <v>269</v>
      </c>
      <c r="C81" s="1" t="s">
        <v>1475</v>
      </c>
      <c r="D81" s="6" t="s">
        <v>795</v>
      </c>
      <c r="E81" s="6">
        <v>1</v>
      </c>
      <c r="F81" s="6" t="s">
        <v>1265</v>
      </c>
      <c r="G81" s="6" t="s">
        <v>844</v>
      </c>
      <c r="H81" s="6" t="s">
        <v>1277</v>
      </c>
      <c r="I81" s="1" t="s">
        <v>8</v>
      </c>
      <c r="J81" s="6" t="s">
        <v>1503</v>
      </c>
      <c r="L81" s="6" t="s">
        <v>5</v>
      </c>
      <c r="R81" s="6" t="s">
        <v>1451</v>
      </c>
    </row>
    <row r="82" spans="1:19" ht="15.6" hidden="1">
      <c r="A82" s="6" t="s">
        <v>1491</v>
      </c>
      <c r="B82" s="1" t="s">
        <v>269</v>
      </c>
      <c r="C82" s="1" t="s">
        <v>1475</v>
      </c>
      <c r="D82" s="6" t="s">
        <v>795</v>
      </c>
      <c r="E82" s="6">
        <v>1</v>
      </c>
      <c r="F82" s="6" t="s">
        <v>1265</v>
      </c>
      <c r="G82" s="6" t="s">
        <v>844</v>
      </c>
      <c r="H82" s="6" t="s">
        <v>1277</v>
      </c>
      <c r="I82" s="1" t="s">
        <v>8</v>
      </c>
      <c r="J82" s="6" t="s">
        <v>1503</v>
      </c>
      <c r="L82" s="6" t="s">
        <v>5</v>
      </c>
      <c r="R82" s="6" t="s">
        <v>1492</v>
      </c>
    </row>
    <row r="83" spans="1:19" ht="15.6" hidden="1">
      <c r="A83" s="6" t="s">
        <v>1535</v>
      </c>
      <c r="B83" s="1" t="s">
        <v>269</v>
      </c>
      <c r="C83" s="1" t="s">
        <v>1475</v>
      </c>
      <c r="D83" s="6" t="s">
        <v>795</v>
      </c>
      <c r="E83" s="6">
        <v>1</v>
      </c>
      <c r="F83" s="6" t="s">
        <v>1265</v>
      </c>
      <c r="G83" s="6" t="s">
        <v>844</v>
      </c>
      <c r="H83" s="6" t="s">
        <v>1277</v>
      </c>
      <c r="I83" s="1" t="s">
        <v>8</v>
      </c>
      <c r="J83" s="6" t="s">
        <v>1503</v>
      </c>
      <c r="L83" s="6" t="s">
        <v>5</v>
      </c>
      <c r="M83" s="6"/>
      <c r="R83" s="6" t="s">
        <v>1639</v>
      </c>
    </row>
    <row r="84" spans="1:19" ht="15.6" hidden="1">
      <c r="A84" s="6" t="s">
        <v>1640</v>
      </c>
      <c r="B84" s="1" t="s">
        <v>269</v>
      </c>
      <c r="C84" s="1" t="s">
        <v>1475</v>
      </c>
      <c r="D84" s="6" t="s">
        <v>795</v>
      </c>
      <c r="E84" s="6">
        <v>1</v>
      </c>
      <c r="F84" s="6" t="s">
        <v>1265</v>
      </c>
      <c r="G84" s="6" t="s">
        <v>844</v>
      </c>
      <c r="H84" s="6" t="s">
        <v>1277</v>
      </c>
      <c r="I84" s="1" t="s">
        <v>8</v>
      </c>
      <c r="J84" s="6" t="s">
        <v>1503</v>
      </c>
      <c r="L84" s="6" t="s">
        <v>5</v>
      </c>
      <c r="M84" s="6"/>
      <c r="R84" s="6" t="s">
        <v>1492</v>
      </c>
    </row>
    <row r="85" spans="1:19" ht="15.6">
      <c r="A85" s="6" t="s">
        <v>1667</v>
      </c>
      <c r="B85" s="1" t="s">
        <v>269</v>
      </c>
      <c r="C85" s="1" t="s">
        <v>1475</v>
      </c>
      <c r="D85" s="6" t="s">
        <v>795</v>
      </c>
      <c r="E85" s="6">
        <v>10</v>
      </c>
      <c r="F85" s="6" t="s">
        <v>1265</v>
      </c>
      <c r="G85" s="6" t="s">
        <v>844</v>
      </c>
      <c r="H85" s="6" t="s">
        <v>1323</v>
      </c>
      <c r="I85" s="1" t="s">
        <v>8</v>
      </c>
      <c r="J85" s="6" t="s">
        <v>1503</v>
      </c>
      <c r="L85" s="6" t="s">
        <v>5</v>
      </c>
      <c r="M85" s="6">
        <v>344</v>
      </c>
      <c r="R85" s="6" t="s">
        <v>711</v>
      </c>
    </row>
    <row r="86" spans="1:19" ht="15.6" hidden="1">
      <c r="A86" s="6" t="s">
        <v>1283</v>
      </c>
      <c r="B86" s="1" t="s">
        <v>269</v>
      </c>
      <c r="C86" s="1" t="s">
        <v>1475</v>
      </c>
      <c r="D86" s="6" t="s">
        <v>795</v>
      </c>
      <c r="E86" s="6">
        <v>1</v>
      </c>
      <c r="F86" s="6" t="s">
        <v>1265</v>
      </c>
      <c r="G86" s="6" t="s">
        <v>844</v>
      </c>
      <c r="H86" s="6" t="s">
        <v>1323</v>
      </c>
      <c r="I86" s="1" t="s">
        <v>8</v>
      </c>
      <c r="J86" s="6" t="s">
        <v>1503</v>
      </c>
      <c r="L86" s="6" t="s">
        <v>5</v>
      </c>
      <c r="R86" s="6" t="s">
        <v>1669</v>
      </c>
      <c r="S86" s="6"/>
    </row>
    <row r="87" spans="1:19" ht="15.6" hidden="1">
      <c r="A87" s="6" t="s">
        <v>1384</v>
      </c>
      <c r="B87" s="1" t="s">
        <v>269</v>
      </c>
      <c r="C87" s="1" t="s">
        <v>1475</v>
      </c>
      <c r="D87" s="6" t="s">
        <v>795</v>
      </c>
      <c r="E87" s="6">
        <v>1</v>
      </c>
      <c r="F87" s="6" t="s">
        <v>1265</v>
      </c>
      <c r="G87" s="6" t="s">
        <v>844</v>
      </c>
      <c r="H87" s="6" t="s">
        <v>1323</v>
      </c>
      <c r="I87" s="1" t="s">
        <v>8</v>
      </c>
      <c r="J87" s="6" t="s">
        <v>1503</v>
      </c>
      <c r="L87" s="6" t="s">
        <v>5</v>
      </c>
      <c r="R87" s="6" t="s">
        <v>1492</v>
      </c>
      <c r="S87" s="6"/>
    </row>
    <row r="88" spans="1:19" ht="15.6" hidden="1">
      <c r="A88" s="6" t="s">
        <v>1385</v>
      </c>
      <c r="B88" s="1" t="s">
        <v>269</v>
      </c>
      <c r="C88" s="1" t="s">
        <v>1475</v>
      </c>
      <c r="D88" s="6" t="s">
        <v>795</v>
      </c>
      <c r="E88" s="6">
        <v>1</v>
      </c>
      <c r="F88" s="6" t="s">
        <v>1265</v>
      </c>
      <c r="G88" s="6" t="s">
        <v>844</v>
      </c>
      <c r="H88" s="6" t="s">
        <v>1323</v>
      </c>
      <c r="I88" s="1" t="s">
        <v>8</v>
      </c>
      <c r="J88" s="6" t="s">
        <v>1503</v>
      </c>
      <c r="L88" s="6" t="s">
        <v>5</v>
      </c>
      <c r="R88" s="6" t="s">
        <v>1456</v>
      </c>
      <c r="S88" s="6"/>
    </row>
    <row r="89" spans="1:19" ht="15.6" hidden="1">
      <c r="A89" s="6" t="s">
        <v>1386</v>
      </c>
      <c r="B89" s="1" t="s">
        <v>269</v>
      </c>
      <c r="C89" s="1" t="s">
        <v>1475</v>
      </c>
      <c r="D89" s="6" t="s">
        <v>795</v>
      </c>
      <c r="E89" s="6">
        <v>1</v>
      </c>
      <c r="F89" s="6" t="s">
        <v>1265</v>
      </c>
      <c r="G89" s="6" t="s">
        <v>844</v>
      </c>
      <c r="H89" s="6" t="s">
        <v>1323</v>
      </c>
      <c r="I89" s="1" t="s">
        <v>8</v>
      </c>
      <c r="J89" s="6" t="s">
        <v>1503</v>
      </c>
      <c r="L89" s="6" t="s">
        <v>5</v>
      </c>
      <c r="R89" s="6" t="s">
        <v>1492</v>
      </c>
      <c r="S89" s="6"/>
    </row>
    <row r="90" spans="1:19" ht="15.6" hidden="1">
      <c r="A90" s="6" t="s">
        <v>1387</v>
      </c>
      <c r="B90" s="1" t="s">
        <v>269</v>
      </c>
      <c r="C90" s="1" t="s">
        <v>1475</v>
      </c>
      <c r="D90" s="6" t="s">
        <v>795</v>
      </c>
      <c r="E90" s="6">
        <v>1</v>
      </c>
      <c r="F90" s="6" t="s">
        <v>1265</v>
      </c>
      <c r="G90" s="6" t="s">
        <v>844</v>
      </c>
      <c r="H90" s="6" t="s">
        <v>1323</v>
      </c>
      <c r="I90" s="1" t="s">
        <v>8</v>
      </c>
      <c r="J90" s="6" t="s">
        <v>1503</v>
      </c>
      <c r="L90" s="6" t="s">
        <v>5</v>
      </c>
      <c r="R90" s="6" t="s">
        <v>1671</v>
      </c>
      <c r="S90" s="6"/>
    </row>
    <row r="91" spans="1:19" ht="15.6" hidden="1">
      <c r="A91" s="6" t="s">
        <v>1388</v>
      </c>
      <c r="B91" s="1" t="s">
        <v>269</v>
      </c>
      <c r="C91" s="1" t="s">
        <v>1475</v>
      </c>
      <c r="D91" s="6" t="s">
        <v>795</v>
      </c>
      <c r="E91" s="6">
        <v>1</v>
      </c>
      <c r="F91" s="6" t="s">
        <v>1265</v>
      </c>
      <c r="G91" s="6" t="s">
        <v>844</v>
      </c>
      <c r="H91" s="6" t="s">
        <v>1323</v>
      </c>
      <c r="I91" s="1" t="s">
        <v>8</v>
      </c>
      <c r="J91" s="6" t="s">
        <v>1503</v>
      </c>
      <c r="L91" s="6" t="s">
        <v>5</v>
      </c>
      <c r="R91" s="6" t="s">
        <v>1634</v>
      </c>
      <c r="S91" s="6"/>
    </row>
    <row r="92" spans="1:19" ht="15.6" hidden="1">
      <c r="A92" s="6" t="s">
        <v>1389</v>
      </c>
      <c r="B92" s="1" t="s">
        <v>269</v>
      </c>
      <c r="C92" s="1" t="s">
        <v>1475</v>
      </c>
      <c r="D92" s="6" t="s">
        <v>795</v>
      </c>
      <c r="E92" s="6">
        <v>1</v>
      </c>
      <c r="F92" s="6" t="s">
        <v>1265</v>
      </c>
      <c r="G92" s="6" t="s">
        <v>844</v>
      </c>
      <c r="H92" s="6" t="s">
        <v>1323</v>
      </c>
      <c r="I92" s="1" t="s">
        <v>8</v>
      </c>
      <c r="J92" s="6" t="s">
        <v>1503</v>
      </c>
      <c r="L92" s="6" t="s">
        <v>5</v>
      </c>
      <c r="R92" s="6" t="s">
        <v>1456</v>
      </c>
      <c r="S92" s="6"/>
    </row>
    <row r="93" spans="1:19" ht="15.6" hidden="1">
      <c r="A93" s="6" t="s">
        <v>1390</v>
      </c>
      <c r="B93" s="1" t="s">
        <v>269</v>
      </c>
      <c r="C93" s="1" t="s">
        <v>1475</v>
      </c>
      <c r="D93" s="6" t="s">
        <v>795</v>
      </c>
      <c r="E93" s="6">
        <v>1</v>
      </c>
      <c r="F93" s="6" t="s">
        <v>1265</v>
      </c>
      <c r="G93" s="6" t="s">
        <v>844</v>
      </c>
      <c r="H93" s="6" t="s">
        <v>1323</v>
      </c>
      <c r="I93" s="1" t="s">
        <v>8</v>
      </c>
      <c r="J93" s="6" t="s">
        <v>1503</v>
      </c>
      <c r="L93" s="6" t="s">
        <v>5</v>
      </c>
      <c r="R93" s="6" t="s">
        <v>1634</v>
      </c>
      <c r="S93" s="6"/>
    </row>
    <row r="94" spans="1:19" ht="15.6" hidden="1">
      <c r="A94" s="6" t="s">
        <v>1391</v>
      </c>
      <c r="B94" s="1" t="s">
        <v>269</v>
      </c>
      <c r="C94" s="1" t="s">
        <v>1475</v>
      </c>
      <c r="D94" s="6" t="s">
        <v>795</v>
      </c>
      <c r="E94" s="6">
        <v>1</v>
      </c>
      <c r="F94" s="6" t="s">
        <v>1265</v>
      </c>
      <c r="G94" s="6" t="s">
        <v>844</v>
      </c>
      <c r="H94" s="6" t="s">
        <v>1323</v>
      </c>
      <c r="I94" s="1" t="s">
        <v>8</v>
      </c>
      <c r="J94" s="6" t="s">
        <v>1503</v>
      </c>
      <c r="L94" s="6" t="s">
        <v>5</v>
      </c>
      <c r="R94" s="6" t="s">
        <v>1672</v>
      </c>
      <c r="S94" s="6"/>
    </row>
    <row r="95" spans="1:19" ht="15.6" hidden="1">
      <c r="A95" s="6" t="s">
        <v>1522</v>
      </c>
      <c r="B95" s="1" t="s">
        <v>269</v>
      </c>
      <c r="C95" s="1" t="s">
        <v>1475</v>
      </c>
      <c r="D95" s="6" t="s">
        <v>795</v>
      </c>
      <c r="E95" s="6">
        <v>1</v>
      </c>
      <c r="F95" s="6" t="s">
        <v>1265</v>
      </c>
      <c r="G95" s="6" t="s">
        <v>844</v>
      </c>
      <c r="H95" s="6" t="s">
        <v>1323</v>
      </c>
      <c r="I95" s="1" t="s">
        <v>8</v>
      </c>
      <c r="J95" s="6" t="s">
        <v>1503</v>
      </c>
      <c r="L95" s="6" t="s">
        <v>5</v>
      </c>
      <c r="R95" s="6" t="s">
        <v>1673</v>
      </c>
      <c r="S95" s="6"/>
    </row>
    <row r="96" spans="1:19" ht="15.6">
      <c r="A96" s="6" t="s">
        <v>1668</v>
      </c>
      <c r="B96" s="1" t="s">
        <v>269</v>
      </c>
      <c r="C96" s="1" t="s">
        <v>1475</v>
      </c>
      <c r="D96" s="6" t="s">
        <v>795</v>
      </c>
      <c r="E96" s="6">
        <v>1</v>
      </c>
      <c r="F96" s="6" t="s">
        <v>1265</v>
      </c>
      <c r="G96" s="6" t="s">
        <v>844</v>
      </c>
      <c r="H96" s="6" t="s">
        <v>1324</v>
      </c>
      <c r="I96" s="1" t="s">
        <v>8</v>
      </c>
      <c r="J96" s="6" t="s">
        <v>1503</v>
      </c>
      <c r="L96" s="6" t="s">
        <v>5</v>
      </c>
      <c r="M96" s="6">
        <v>124</v>
      </c>
      <c r="R96" s="6" t="s">
        <v>711</v>
      </c>
    </row>
    <row r="97" spans="1:19" ht="15.6" hidden="1">
      <c r="A97" s="6" t="s">
        <v>1353</v>
      </c>
      <c r="B97" s="1" t="s">
        <v>269</v>
      </c>
      <c r="C97" s="1" t="s">
        <v>1475</v>
      </c>
      <c r="D97" s="6" t="s">
        <v>795</v>
      </c>
      <c r="E97" s="6">
        <v>1</v>
      </c>
      <c r="F97" s="6" t="s">
        <v>1265</v>
      </c>
      <c r="G97" s="6" t="s">
        <v>844</v>
      </c>
      <c r="H97" s="6" t="s">
        <v>1324</v>
      </c>
      <c r="I97" s="1" t="s">
        <v>8</v>
      </c>
      <c r="J97" s="6" t="s">
        <v>1503</v>
      </c>
      <c r="L97" s="6" t="s">
        <v>5</v>
      </c>
      <c r="R97" s="6" t="s">
        <v>1669</v>
      </c>
      <c r="S97" s="6"/>
    </row>
    <row r="98" spans="1:19" ht="15.6" hidden="1">
      <c r="A98" s="6" t="s">
        <v>1354</v>
      </c>
      <c r="B98" s="1" t="s">
        <v>269</v>
      </c>
      <c r="C98" s="1" t="s">
        <v>1475</v>
      </c>
      <c r="D98" s="6" t="s">
        <v>795</v>
      </c>
      <c r="E98" s="6">
        <v>1</v>
      </c>
      <c r="F98" s="6" t="s">
        <v>1265</v>
      </c>
      <c r="G98" s="6" t="s">
        <v>844</v>
      </c>
      <c r="H98" s="6" t="s">
        <v>1324</v>
      </c>
      <c r="I98" s="1" t="s">
        <v>8</v>
      </c>
      <c r="J98" s="6" t="s">
        <v>1503</v>
      </c>
      <c r="L98" s="6" t="s">
        <v>5</v>
      </c>
      <c r="R98" s="6" t="s">
        <v>1451</v>
      </c>
      <c r="S98" s="6"/>
    </row>
    <row r="99" spans="1:19" ht="15.6" hidden="1">
      <c r="A99" s="6" t="s">
        <v>1493</v>
      </c>
      <c r="B99" s="1" t="s">
        <v>269</v>
      </c>
      <c r="C99" s="1" t="s">
        <v>1475</v>
      </c>
      <c r="D99" s="6" t="s">
        <v>795</v>
      </c>
      <c r="E99" s="6">
        <v>1</v>
      </c>
      <c r="F99" s="6" t="s">
        <v>1265</v>
      </c>
      <c r="G99" s="6" t="s">
        <v>844</v>
      </c>
      <c r="H99" s="6" t="s">
        <v>1324</v>
      </c>
      <c r="I99" s="1" t="s">
        <v>8</v>
      </c>
      <c r="J99" s="6" t="s">
        <v>1503</v>
      </c>
      <c r="L99" s="6" t="s">
        <v>5</v>
      </c>
      <c r="R99" s="6" t="s">
        <v>1670</v>
      </c>
      <c r="S99" s="6"/>
    </row>
    <row r="100" spans="1:19" ht="15.6" hidden="1">
      <c r="A100" s="6" t="s">
        <v>1521</v>
      </c>
      <c r="B100" s="1" t="s">
        <v>269</v>
      </c>
      <c r="C100" s="1" t="s">
        <v>1475</v>
      </c>
      <c r="D100" s="6" t="s">
        <v>795</v>
      </c>
      <c r="E100" s="6">
        <v>1</v>
      </c>
      <c r="F100" s="6" t="s">
        <v>1265</v>
      </c>
      <c r="G100" s="6" t="s">
        <v>844</v>
      </c>
      <c r="H100" s="6" t="s">
        <v>1324</v>
      </c>
      <c r="I100" s="1" t="s">
        <v>8</v>
      </c>
      <c r="J100" s="6" t="s">
        <v>1503</v>
      </c>
      <c r="L100" s="6" t="s">
        <v>5</v>
      </c>
      <c r="R100" s="6" t="s">
        <v>1669</v>
      </c>
      <c r="S100" s="6"/>
    </row>
    <row r="101" spans="1:19" ht="15.6">
      <c r="A101" s="6" t="s">
        <v>1674</v>
      </c>
      <c r="B101" s="1" t="s">
        <v>269</v>
      </c>
      <c r="C101" s="1" t="s">
        <v>1477</v>
      </c>
      <c r="D101" s="6" t="s">
        <v>1011</v>
      </c>
      <c r="E101" s="6">
        <v>10</v>
      </c>
      <c r="F101" s="1" t="s">
        <v>1263</v>
      </c>
      <c r="G101" s="1" t="s">
        <v>843</v>
      </c>
      <c r="H101" s="6" t="s">
        <v>1288</v>
      </c>
      <c r="I101" s="1" t="s">
        <v>8</v>
      </c>
      <c r="J101" s="6"/>
      <c r="K101" s="1" t="s">
        <v>1345</v>
      </c>
      <c r="L101" s="6" t="s">
        <v>5</v>
      </c>
      <c r="M101" s="6"/>
      <c r="R101" s="1"/>
    </row>
    <row r="102" spans="1:19" ht="15.6">
      <c r="A102" s="6" t="s">
        <v>1289</v>
      </c>
      <c r="B102" s="1" t="s">
        <v>269</v>
      </c>
      <c r="C102" s="1" t="s">
        <v>1477</v>
      </c>
      <c r="D102" s="6" t="s">
        <v>1011</v>
      </c>
      <c r="E102" s="6">
        <v>10</v>
      </c>
      <c r="F102" s="1" t="s">
        <v>1263</v>
      </c>
      <c r="G102" s="1" t="s">
        <v>843</v>
      </c>
      <c r="H102" s="6" t="s">
        <v>1288</v>
      </c>
      <c r="I102" s="1" t="s">
        <v>8</v>
      </c>
      <c r="J102" s="6"/>
      <c r="K102" s="1" t="s">
        <v>1345</v>
      </c>
      <c r="L102" s="6" t="s">
        <v>5</v>
      </c>
      <c r="M102" s="6">
        <v>415</v>
      </c>
      <c r="R102" s="1" t="s">
        <v>519</v>
      </c>
    </row>
    <row r="103" spans="1:19" ht="15.6">
      <c r="A103" s="6" t="s">
        <v>1303</v>
      </c>
      <c r="B103" s="1" t="s">
        <v>269</v>
      </c>
      <c r="C103" s="1" t="s">
        <v>1475</v>
      </c>
      <c r="D103" s="6" t="s">
        <v>790</v>
      </c>
      <c r="E103" s="6">
        <v>13</v>
      </c>
      <c r="F103" s="6" t="s">
        <v>1265</v>
      </c>
      <c r="G103" s="6" t="s">
        <v>844</v>
      </c>
      <c r="H103" s="6" t="s">
        <v>1304</v>
      </c>
      <c r="I103" s="1" t="s">
        <v>8</v>
      </c>
      <c r="J103" s="6"/>
      <c r="L103" s="6" t="s">
        <v>5</v>
      </c>
      <c r="M103" s="6">
        <v>223</v>
      </c>
      <c r="R103" s="1" t="s">
        <v>1305</v>
      </c>
    </row>
    <row r="104" spans="1:19" ht="15.6">
      <c r="A104" s="6" t="s">
        <v>1306</v>
      </c>
      <c r="B104" s="1" t="s">
        <v>269</v>
      </c>
      <c r="C104" s="1" t="s">
        <v>1575</v>
      </c>
      <c r="D104" s="6" t="s">
        <v>818</v>
      </c>
      <c r="E104" s="6">
        <v>5</v>
      </c>
      <c r="F104" s="6" t="s">
        <v>1265</v>
      </c>
      <c r="G104" s="6" t="s">
        <v>844</v>
      </c>
      <c r="H104" s="6" t="s">
        <v>1308</v>
      </c>
      <c r="I104" s="1" t="s">
        <v>8</v>
      </c>
      <c r="J104" s="6"/>
      <c r="K104" s="1" t="s">
        <v>1345</v>
      </c>
      <c r="L104" s="6" t="s">
        <v>5</v>
      </c>
      <c r="M104" s="6">
        <v>34</v>
      </c>
      <c r="R104" s="1" t="s">
        <v>706</v>
      </c>
    </row>
    <row r="105" spans="1:19" ht="15.6">
      <c r="A105" s="6" t="s">
        <v>1307</v>
      </c>
      <c r="B105" s="1" t="s">
        <v>269</v>
      </c>
      <c r="C105" s="1" t="s">
        <v>1575</v>
      </c>
      <c r="D105" s="6" t="s">
        <v>818</v>
      </c>
      <c r="E105" s="6">
        <v>5</v>
      </c>
      <c r="F105" s="6" t="s">
        <v>1265</v>
      </c>
      <c r="G105" s="6" t="s">
        <v>844</v>
      </c>
      <c r="H105" s="6" t="s">
        <v>1308</v>
      </c>
      <c r="I105" s="1" t="s">
        <v>8</v>
      </c>
      <c r="J105" s="6"/>
      <c r="K105" s="1" t="s">
        <v>1345</v>
      </c>
      <c r="L105" s="6" t="s">
        <v>5</v>
      </c>
      <c r="M105" s="6">
        <v>34</v>
      </c>
      <c r="R105" s="1" t="s">
        <v>706</v>
      </c>
    </row>
    <row r="106" spans="1:19" ht="15.6">
      <c r="A106" s="6" t="s">
        <v>1659</v>
      </c>
      <c r="B106" s="1" t="s">
        <v>799</v>
      </c>
      <c r="C106" s="1" t="s">
        <v>898</v>
      </c>
      <c r="D106" s="6" t="s">
        <v>1321</v>
      </c>
      <c r="E106" s="6">
        <v>1</v>
      </c>
      <c r="F106" s="6" t="s">
        <v>1265</v>
      </c>
      <c r="G106" s="6" t="s">
        <v>844</v>
      </c>
      <c r="H106" s="6" t="s">
        <v>1320</v>
      </c>
      <c r="I106" s="1" t="s">
        <v>8</v>
      </c>
      <c r="J106" s="6"/>
      <c r="L106" s="6" t="s">
        <v>319</v>
      </c>
      <c r="M106" s="6">
        <v>118</v>
      </c>
      <c r="R106" s="1" t="s">
        <v>1325</v>
      </c>
    </row>
    <row r="107" spans="1:19" ht="15.6">
      <c r="A107" s="6" t="s">
        <v>1660</v>
      </c>
      <c r="B107" s="1" t="s">
        <v>799</v>
      </c>
      <c r="C107" s="1" t="s">
        <v>898</v>
      </c>
      <c r="D107" s="6" t="s">
        <v>1321</v>
      </c>
      <c r="E107" s="6">
        <v>1</v>
      </c>
      <c r="F107" s="6" t="s">
        <v>1265</v>
      </c>
      <c r="G107" s="6" t="s">
        <v>844</v>
      </c>
      <c r="H107" s="6" t="s">
        <v>1320</v>
      </c>
      <c r="I107" s="1" t="s">
        <v>8</v>
      </c>
      <c r="J107" s="6"/>
      <c r="L107" s="6" t="s">
        <v>319</v>
      </c>
      <c r="M107" s="6"/>
      <c r="R107" s="1"/>
    </row>
    <row r="108" spans="1:19" ht="15.6">
      <c r="A108" s="6" t="s">
        <v>1401</v>
      </c>
      <c r="B108" s="1" t="s">
        <v>269</v>
      </c>
      <c r="C108" s="1" t="s">
        <v>1482</v>
      </c>
      <c r="D108" s="6" t="s">
        <v>1011</v>
      </c>
      <c r="E108" s="6">
        <v>1</v>
      </c>
      <c r="F108" s="1" t="s">
        <v>1263</v>
      </c>
      <c r="G108" s="6" t="s">
        <v>844</v>
      </c>
      <c r="H108" s="6" t="s">
        <v>1252</v>
      </c>
      <c r="I108" s="1" t="s">
        <v>8</v>
      </c>
      <c r="J108" s="6"/>
      <c r="L108" s="6" t="s">
        <v>319</v>
      </c>
      <c r="M108" s="6">
        <v>35</v>
      </c>
      <c r="R108" s="6" t="s">
        <v>711</v>
      </c>
    </row>
    <row r="109" spans="1:19" ht="15.6">
      <c r="A109" s="6" t="s">
        <v>1402</v>
      </c>
      <c r="B109" s="1" t="s">
        <v>269</v>
      </c>
      <c r="C109" s="1" t="s">
        <v>1482</v>
      </c>
      <c r="D109" s="6" t="s">
        <v>1011</v>
      </c>
      <c r="E109" s="6">
        <v>1</v>
      </c>
      <c r="F109" s="1" t="s">
        <v>1263</v>
      </c>
      <c r="G109" s="6" t="s">
        <v>844</v>
      </c>
      <c r="H109" s="6" t="s">
        <v>1252</v>
      </c>
      <c r="I109" s="1" t="s">
        <v>8</v>
      </c>
      <c r="J109" s="6"/>
      <c r="L109" s="6" t="s">
        <v>319</v>
      </c>
      <c r="M109" s="6">
        <v>31</v>
      </c>
      <c r="R109" s="6" t="s">
        <v>711</v>
      </c>
    </row>
    <row r="110" spans="1:19" ht="15.6">
      <c r="A110" s="6" t="s">
        <v>1403</v>
      </c>
      <c r="B110" s="1" t="s">
        <v>269</v>
      </c>
      <c r="C110" s="1" t="s">
        <v>1482</v>
      </c>
      <c r="D110" s="6" t="s">
        <v>1011</v>
      </c>
      <c r="E110" s="6">
        <v>1</v>
      </c>
      <c r="F110" s="1" t="s">
        <v>1263</v>
      </c>
      <c r="G110" s="6" t="s">
        <v>844</v>
      </c>
      <c r="H110" s="6" t="s">
        <v>1252</v>
      </c>
      <c r="I110" s="1" t="s">
        <v>8</v>
      </c>
      <c r="J110" s="6"/>
      <c r="L110" s="6" t="s">
        <v>319</v>
      </c>
      <c r="M110" s="6">
        <v>38</v>
      </c>
      <c r="R110" s="6" t="s">
        <v>711</v>
      </c>
    </row>
    <row r="111" spans="1:19" ht="15.6">
      <c r="A111" s="6" t="s">
        <v>1495</v>
      </c>
      <c r="B111" s="1" t="s">
        <v>269</v>
      </c>
      <c r="C111" s="1" t="s">
        <v>1482</v>
      </c>
      <c r="D111" s="6" t="s">
        <v>1011</v>
      </c>
      <c r="E111" s="6">
        <v>1</v>
      </c>
      <c r="F111" s="1" t="s">
        <v>1263</v>
      </c>
      <c r="G111" s="6" t="s">
        <v>844</v>
      </c>
      <c r="H111" s="6" t="s">
        <v>1252</v>
      </c>
      <c r="I111" s="1" t="s">
        <v>8</v>
      </c>
      <c r="J111" s="6"/>
      <c r="L111" s="6" t="s">
        <v>319</v>
      </c>
      <c r="M111" s="6">
        <v>32</v>
      </c>
      <c r="R111" s="6" t="s">
        <v>711</v>
      </c>
    </row>
    <row r="112" spans="1:19" ht="15.6">
      <c r="A112" s="6" t="s">
        <v>1545</v>
      </c>
      <c r="B112" s="1" t="s">
        <v>269</v>
      </c>
      <c r="C112" s="1" t="s">
        <v>1482</v>
      </c>
      <c r="D112" s="6" t="s">
        <v>1011</v>
      </c>
      <c r="E112" s="6">
        <v>1</v>
      </c>
      <c r="F112" s="1" t="s">
        <v>1263</v>
      </c>
      <c r="G112" s="6" t="s">
        <v>844</v>
      </c>
      <c r="H112" s="6" t="s">
        <v>1252</v>
      </c>
      <c r="I112" s="1" t="s">
        <v>8</v>
      </c>
      <c r="J112" s="6"/>
      <c r="L112" s="6" t="s">
        <v>319</v>
      </c>
      <c r="M112" s="6">
        <v>48</v>
      </c>
      <c r="R112" s="6" t="s">
        <v>711</v>
      </c>
    </row>
    <row r="113" spans="1:18" ht="15.6">
      <c r="A113" s="6" t="s">
        <v>1760</v>
      </c>
      <c r="B113" s="1" t="s">
        <v>269</v>
      </c>
      <c r="C113" s="1" t="s">
        <v>1482</v>
      </c>
      <c r="D113" s="6" t="s">
        <v>1011</v>
      </c>
      <c r="E113" s="6">
        <v>1</v>
      </c>
      <c r="F113" s="1" t="s">
        <v>1263</v>
      </c>
      <c r="G113" s="6" t="s">
        <v>844</v>
      </c>
      <c r="H113" s="6" t="s">
        <v>1252</v>
      </c>
      <c r="I113" s="1" t="s">
        <v>8</v>
      </c>
      <c r="J113" s="6"/>
      <c r="L113" s="6" t="s">
        <v>319</v>
      </c>
      <c r="M113" s="6">
        <v>39</v>
      </c>
      <c r="R113" s="6" t="s">
        <v>711</v>
      </c>
    </row>
    <row r="114" spans="1:18" ht="15.6">
      <c r="A114" s="6" t="s">
        <v>1409</v>
      </c>
      <c r="B114" s="1" t="s">
        <v>269</v>
      </c>
      <c r="C114" s="1" t="s">
        <v>1474</v>
      </c>
      <c r="D114" s="6" t="s">
        <v>786</v>
      </c>
      <c r="E114" s="6">
        <v>26</v>
      </c>
      <c r="F114" s="1" t="s">
        <v>1263</v>
      </c>
      <c r="G114" s="1" t="s">
        <v>843</v>
      </c>
      <c r="H114" s="6" t="s">
        <v>1410</v>
      </c>
      <c r="I114" s="1" t="s">
        <v>8</v>
      </c>
      <c r="J114" s="6"/>
      <c r="K114" s="1" t="s">
        <v>1345</v>
      </c>
      <c r="L114" s="6" t="s">
        <v>319</v>
      </c>
      <c r="M114" s="6"/>
      <c r="R114" s="1"/>
    </row>
    <row r="115" spans="1:18" ht="15.6">
      <c r="A115" s="6" t="s">
        <v>1431</v>
      </c>
      <c r="B115" s="1" t="s">
        <v>269</v>
      </c>
      <c r="C115" s="1" t="s">
        <v>1477</v>
      </c>
      <c r="D115" s="6" t="s">
        <v>1432</v>
      </c>
      <c r="E115" s="6">
        <v>4</v>
      </c>
      <c r="F115" s="6" t="s">
        <v>1265</v>
      </c>
      <c r="G115" s="1" t="s">
        <v>843</v>
      </c>
      <c r="H115" s="6" t="s">
        <v>1430</v>
      </c>
      <c r="I115" s="1" t="s">
        <v>8</v>
      </c>
      <c r="J115" s="6"/>
      <c r="K115" s="1" t="s">
        <v>1345</v>
      </c>
      <c r="L115" s="6" t="s">
        <v>319</v>
      </c>
      <c r="M115" s="6">
        <v>148</v>
      </c>
      <c r="R115" s="6" t="s">
        <v>1411</v>
      </c>
    </row>
    <row r="116" spans="1:18" ht="15.6">
      <c r="A116" s="6" t="s">
        <v>1447</v>
      </c>
      <c r="B116" s="1" t="s">
        <v>269</v>
      </c>
      <c r="C116" s="1" t="s">
        <v>1475</v>
      </c>
      <c r="D116" s="6" t="s">
        <v>790</v>
      </c>
      <c r="E116" s="6">
        <v>4</v>
      </c>
      <c r="F116" s="6" t="s">
        <v>1265</v>
      </c>
      <c r="G116" s="6" t="s">
        <v>844</v>
      </c>
      <c r="H116" s="6" t="s">
        <v>1446</v>
      </c>
      <c r="I116" s="1" t="s">
        <v>8</v>
      </c>
      <c r="J116" s="6"/>
      <c r="K116" s="1" t="s">
        <v>1345</v>
      </c>
      <c r="L116" s="6" t="s">
        <v>319</v>
      </c>
      <c r="M116" s="6">
        <v>180</v>
      </c>
      <c r="R116" s="6" t="s">
        <v>1411</v>
      </c>
    </row>
    <row r="117" spans="1:18" ht="15.6">
      <c r="A117" s="6" t="s">
        <v>1448</v>
      </c>
      <c r="B117" s="1" t="s">
        <v>269</v>
      </c>
      <c r="C117" s="1" t="s">
        <v>1475</v>
      </c>
      <c r="D117" s="6" t="s">
        <v>790</v>
      </c>
      <c r="E117" s="6">
        <v>3</v>
      </c>
      <c r="F117" s="1" t="s">
        <v>1263</v>
      </c>
      <c r="G117" s="6" t="s">
        <v>844</v>
      </c>
      <c r="H117" s="6" t="s">
        <v>1435</v>
      </c>
      <c r="I117" s="1" t="s">
        <v>8</v>
      </c>
      <c r="J117" s="6"/>
      <c r="K117" s="1" t="s">
        <v>1345</v>
      </c>
      <c r="L117" s="6" t="s">
        <v>319</v>
      </c>
      <c r="M117" s="6">
        <v>137</v>
      </c>
      <c r="R117" s="6" t="s">
        <v>1411</v>
      </c>
    </row>
    <row r="118" spans="1:18" ht="15.6">
      <c r="A118" s="6" t="s">
        <v>1438</v>
      </c>
      <c r="B118" s="1" t="s">
        <v>269</v>
      </c>
      <c r="C118" s="1" t="s">
        <v>1480</v>
      </c>
      <c r="D118" s="6" t="s">
        <v>1423</v>
      </c>
      <c r="E118" s="6">
        <v>3</v>
      </c>
      <c r="F118" s="1" t="s">
        <v>1263</v>
      </c>
      <c r="G118" s="1" t="s">
        <v>843</v>
      </c>
      <c r="H118" s="6" t="s">
        <v>1437</v>
      </c>
      <c r="I118" s="1" t="s">
        <v>8</v>
      </c>
      <c r="J118" s="6"/>
      <c r="K118" s="1" t="s">
        <v>1345</v>
      </c>
      <c r="L118" s="6" t="s">
        <v>319</v>
      </c>
      <c r="M118" s="6">
        <v>289</v>
      </c>
      <c r="R118" s="6" t="s">
        <v>1439</v>
      </c>
    </row>
    <row r="119" spans="1:18" ht="15.6">
      <c r="A119" s="6" t="s">
        <v>1440</v>
      </c>
      <c r="B119" s="1" t="s">
        <v>269</v>
      </c>
      <c r="C119" s="1" t="s">
        <v>1479</v>
      </c>
      <c r="D119" s="6" t="s">
        <v>1423</v>
      </c>
      <c r="E119" s="6">
        <v>1</v>
      </c>
      <c r="F119" s="1" t="s">
        <v>1263</v>
      </c>
      <c r="G119" s="1" t="s">
        <v>843</v>
      </c>
      <c r="H119" s="6" t="s">
        <v>1441</v>
      </c>
      <c r="I119" s="1" t="s">
        <v>8</v>
      </c>
      <c r="J119" s="6"/>
      <c r="L119" s="6" t="s">
        <v>319</v>
      </c>
      <c r="M119" s="6">
        <v>84</v>
      </c>
      <c r="R119" s="6" t="s">
        <v>1427</v>
      </c>
    </row>
    <row r="120" spans="1:18" ht="15.6">
      <c r="A120" s="6" t="s">
        <v>1443</v>
      </c>
      <c r="B120" s="1" t="s">
        <v>269</v>
      </c>
      <c r="C120" s="1" t="s">
        <v>1479</v>
      </c>
      <c r="D120" s="6" t="s">
        <v>1423</v>
      </c>
      <c r="E120" s="6">
        <v>1</v>
      </c>
      <c r="F120" s="1" t="s">
        <v>1263</v>
      </c>
      <c r="G120" s="6" t="s">
        <v>844</v>
      </c>
      <c r="H120" s="6" t="s">
        <v>1444</v>
      </c>
      <c r="I120" s="1" t="s">
        <v>8</v>
      </c>
      <c r="J120" s="6"/>
      <c r="L120" s="6" t="s">
        <v>319</v>
      </c>
      <c r="M120" s="6">
        <v>0</v>
      </c>
      <c r="R120" s="6" t="s">
        <v>711</v>
      </c>
    </row>
    <row r="121" spans="1:18" ht="15.6">
      <c r="A121" s="6" t="s">
        <v>1445</v>
      </c>
      <c r="B121" s="1" t="s">
        <v>269</v>
      </c>
      <c r="C121" s="1" t="s">
        <v>1479</v>
      </c>
      <c r="D121" s="6" t="s">
        <v>1423</v>
      </c>
      <c r="E121" s="6">
        <v>1</v>
      </c>
      <c r="F121" s="1" t="s">
        <v>1263</v>
      </c>
      <c r="G121" s="6" t="s">
        <v>844</v>
      </c>
      <c r="H121" s="6" t="s">
        <v>1444</v>
      </c>
      <c r="I121" s="1" t="s">
        <v>8</v>
      </c>
      <c r="J121" s="6"/>
      <c r="L121" s="6" t="s">
        <v>319</v>
      </c>
      <c r="M121" s="6">
        <v>64</v>
      </c>
      <c r="R121" s="6" t="s">
        <v>711</v>
      </c>
    </row>
    <row r="122" spans="1:18" ht="15.6">
      <c r="A122" s="6" t="s">
        <v>1478</v>
      </c>
      <c r="B122" s="1" t="s">
        <v>269</v>
      </c>
      <c r="C122" s="1" t="s">
        <v>1479</v>
      </c>
      <c r="D122" s="6" t="s">
        <v>1423</v>
      </c>
      <c r="E122" s="6">
        <v>1</v>
      </c>
      <c r="F122" s="1" t="s">
        <v>1263</v>
      </c>
      <c r="G122" s="6" t="s">
        <v>844</v>
      </c>
      <c r="H122" s="6" t="s">
        <v>1444</v>
      </c>
      <c r="I122" s="1" t="s">
        <v>8</v>
      </c>
      <c r="J122" s="6"/>
      <c r="L122" s="6" t="s">
        <v>319</v>
      </c>
      <c r="M122" s="6">
        <v>45</v>
      </c>
      <c r="R122" s="6" t="s">
        <v>711</v>
      </c>
    </row>
    <row r="123" spans="1:18" ht="15.6">
      <c r="A123" s="6" t="s">
        <v>1486</v>
      </c>
      <c r="B123" s="1" t="s">
        <v>269</v>
      </c>
      <c r="C123" s="1" t="s">
        <v>1479</v>
      </c>
      <c r="D123" s="6" t="s">
        <v>1423</v>
      </c>
      <c r="E123" s="6">
        <v>1</v>
      </c>
      <c r="F123" s="1" t="s">
        <v>1263</v>
      </c>
      <c r="G123" s="6" t="s">
        <v>844</v>
      </c>
      <c r="H123" s="6" t="s">
        <v>1444</v>
      </c>
      <c r="I123" s="1" t="s">
        <v>8</v>
      </c>
      <c r="J123" s="6"/>
      <c r="L123" s="6" t="s">
        <v>319</v>
      </c>
      <c r="M123" s="6">
        <v>31</v>
      </c>
      <c r="R123" s="6" t="s">
        <v>711</v>
      </c>
    </row>
    <row r="124" spans="1:18" ht="15.6">
      <c r="A124" s="6" t="s">
        <v>1613</v>
      </c>
      <c r="B124" s="1" t="s">
        <v>269</v>
      </c>
      <c r="C124" s="1" t="s">
        <v>1479</v>
      </c>
      <c r="D124" s="6" t="s">
        <v>1423</v>
      </c>
      <c r="E124" s="6">
        <v>1</v>
      </c>
      <c r="F124" s="1" t="s">
        <v>1263</v>
      </c>
      <c r="G124" s="6" t="s">
        <v>844</v>
      </c>
      <c r="H124" s="6" t="s">
        <v>1444</v>
      </c>
      <c r="I124" s="1" t="s">
        <v>8</v>
      </c>
      <c r="J124" s="6"/>
      <c r="L124" s="6" t="s">
        <v>319</v>
      </c>
      <c r="M124" s="6">
        <v>68</v>
      </c>
      <c r="R124" s="6" t="s">
        <v>711</v>
      </c>
    </row>
    <row r="125" spans="1:18" ht="15.6">
      <c r="A125" s="6" t="s">
        <v>1496</v>
      </c>
      <c r="B125" s="1" t="s">
        <v>269</v>
      </c>
      <c r="C125" s="1" t="s">
        <v>1475</v>
      </c>
      <c r="D125" s="6" t="s">
        <v>795</v>
      </c>
      <c r="E125" s="6">
        <v>1</v>
      </c>
      <c r="F125" s="6" t="s">
        <v>1265</v>
      </c>
      <c r="G125" s="1" t="s">
        <v>843</v>
      </c>
      <c r="H125" s="6" t="s">
        <v>1487</v>
      </c>
      <c r="I125" s="1" t="s">
        <v>8</v>
      </c>
      <c r="J125" s="6" t="s">
        <v>1503</v>
      </c>
      <c r="L125" s="6" t="s">
        <v>319</v>
      </c>
      <c r="M125" s="6">
        <v>32</v>
      </c>
      <c r="R125" s="6" t="s">
        <v>711</v>
      </c>
    </row>
    <row r="126" spans="1:18" ht="15.6">
      <c r="A126" s="6" t="s">
        <v>1506</v>
      </c>
      <c r="B126" s="1" t="s">
        <v>269</v>
      </c>
      <c r="C126" s="1" t="s">
        <v>1475</v>
      </c>
      <c r="D126" s="6" t="s">
        <v>795</v>
      </c>
      <c r="E126" s="6">
        <v>1</v>
      </c>
      <c r="F126" s="6" t="s">
        <v>1265</v>
      </c>
      <c r="G126" s="1" t="s">
        <v>843</v>
      </c>
      <c r="H126" s="6" t="s">
        <v>1487</v>
      </c>
      <c r="I126" s="1" t="s">
        <v>8</v>
      </c>
      <c r="J126" s="6" t="s">
        <v>1503</v>
      </c>
      <c r="L126" s="6" t="s">
        <v>319</v>
      </c>
      <c r="M126" s="6">
        <v>33</v>
      </c>
      <c r="R126" s="6" t="s">
        <v>711</v>
      </c>
    </row>
    <row r="127" spans="1:18" ht="15.6">
      <c r="A127" s="6" t="s">
        <v>1614</v>
      </c>
      <c r="B127" s="1" t="s">
        <v>269</v>
      </c>
      <c r="C127" s="1" t="s">
        <v>1475</v>
      </c>
      <c r="D127" s="6" t="s">
        <v>795</v>
      </c>
      <c r="E127" s="6">
        <v>1</v>
      </c>
      <c r="F127" s="6" t="s">
        <v>1265</v>
      </c>
      <c r="G127" s="1" t="s">
        <v>843</v>
      </c>
      <c r="H127" s="6" t="s">
        <v>1487</v>
      </c>
      <c r="I127" s="1" t="s">
        <v>8</v>
      </c>
      <c r="J127" s="6" t="s">
        <v>1503</v>
      </c>
      <c r="L127" s="6" t="s">
        <v>319</v>
      </c>
      <c r="M127" s="6">
        <v>37</v>
      </c>
      <c r="R127" s="6" t="s">
        <v>711</v>
      </c>
    </row>
    <row r="128" spans="1:18" ht="15.6">
      <c r="A128" s="6" t="s">
        <v>1488</v>
      </c>
      <c r="B128" s="1" t="s">
        <v>269</v>
      </c>
      <c r="C128" s="1" t="s">
        <v>1475</v>
      </c>
      <c r="D128" s="6" t="s">
        <v>795</v>
      </c>
      <c r="E128" s="6">
        <v>1</v>
      </c>
      <c r="F128" s="6" t="s">
        <v>1265</v>
      </c>
      <c r="G128" s="1" t="s">
        <v>843</v>
      </c>
      <c r="H128" s="6" t="s">
        <v>1487</v>
      </c>
      <c r="I128" s="1" t="s">
        <v>8</v>
      </c>
      <c r="J128" s="6" t="s">
        <v>1503</v>
      </c>
      <c r="L128" s="6" t="s">
        <v>319</v>
      </c>
      <c r="M128" s="6">
        <v>29</v>
      </c>
      <c r="R128" s="6" t="s">
        <v>711</v>
      </c>
    </row>
    <row r="129" spans="1:18" ht="15.6">
      <c r="A129" s="6" t="s">
        <v>1527</v>
      </c>
      <c r="B129" s="1" t="s">
        <v>269</v>
      </c>
      <c r="C129" s="1" t="s">
        <v>1475</v>
      </c>
      <c r="D129" s="6" t="s">
        <v>795</v>
      </c>
      <c r="E129" s="6">
        <v>1</v>
      </c>
      <c r="F129" s="6" t="s">
        <v>1265</v>
      </c>
      <c r="G129" s="1" t="s">
        <v>843</v>
      </c>
      <c r="H129" s="6" t="s">
        <v>1487</v>
      </c>
      <c r="I129" s="1" t="s">
        <v>8</v>
      </c>
      <c r="J129" s="6" t="s">
        <v>1503</v>
      </c>
      <c r="L129" s="6" t="s">
        <v>319</v>
      </c>
      <c r="M129" s="6">
        <v>0</v>
      </c>
      <c r="R129" s="6" t="s">
        <v>711</v>
      </c>
    </row>
    <row r="130" spans="1:18" ht="15.6">
      <c r="A130" s="6" t="s">
        <v>1538</v>
      </c>
      <c r="B130" s="1" t="s">
        <v>269</v>
      </c>
      <c r="C130" s="1" t="s">
        <v>1475</v>
      </c>
      <c r="D130" s="6" t="s">
        <v>795</v>
      </c>
      <c r="E130" s="6">
        <v>1</v>
      </c>
      <c r="F130" s="6" t="s">
        <v>1265</v>
      </c>
      <c r="G130" s="1" t="s">
        <v>843</v>
      </c>
      <c r="H130" s="6" t="s">
        <v>1487</v>
      </c>
      <c r="I130" s="1" t="s">
        <v>8</v>
      </c>
      <c r="J130" s="6" t="s">
        <v>1503</v>
      </c>
      <c r="L130" s="6" t="s">
        <v>319</v>
      </c>
      <c r="M130" s="6">
        <v>40</v>
      </c>
      <c r="R130" s="6" t="s">
        <v>711</v>
      </c>
    </row>
    <row r="131" spans="1:18" ht="15.6">
      <c r="A131" s="6" t="s">
        <v>1646</v>
      </c>
      <c r="B131" s="1" t="s">
        <v>269</v>
      </c>
      <c r="C131" s="1" t="s">
        <v>1475</v>
      </c>
      <c r="D131" s="6" t="s">
        <v>795</v>
      </c>
      <c r="E131" s="6">
        <v>1</v>
      </c>
      <c r="F131" s="6" t="s">
        <v>1265</v>
      </c>
      <c r="G131" s="1" t="s">
        <v>843</v>
      </c>
      <c r="H131" s="6" t="s">
        <v>1487</v>
      </c>
      <c r="I131" s="1" t="s">
        <v>8</v>
      </c>
      <c r="J131" s="6" t="s">
        <v>1503</v>
      </c>
      <c r="L131" s="6" t="s">
        <v>319</v>
      </c>
      <c r="M131" s="6">
        <v>42</v>
      </c>
      <c r="R131" s="6" t="s">
        <v>711</v>
      </c>
    </row>
    <row r="132" spans="1:18" ht="15.6">
      <c r="A132" s="6" t="s">
        <v>1650</v>
      </c>
      <c r="B132" s="1" t="s">
        <v>269</v>
      </c>
      <c r="C132" s="1" t="s">
        <v>1475</v>
      </c>
      <c r="D132" s="6" t="s">
        <v>795</v>
      </c>
      <c r="E132" s="6">
        <v>1</v>
      </c>
      <c r="F132" s="6" t="s">
        <v>1265</v>
      </c>
      <c r="G132" s="1" t="s">
        <v>843</v>
      </c>
      <c r="H132" s="6" t="s">
        <v>1487</v>
      </c>
      <c r="I132" s="1" t="s">
        <v>8</v>
      </c>
      <c r="J132" s="6" t="s">
        <v>1503</v>
      </c>
      <c r="L132" s="6" t="s">
        <v>319</v>
      </c>
      <c r="M132" s="6">
        <v>33</v>
      </c>
      <c r="R132" s="6" t="s">
        <v>711</v>
      </c>
    </row>
    <row r="133" spans="1:18" ht="15.6">
      <c r="A133" s="6" t="s">
        <v>1651</v>
      </c>
      <c r="B133" s="1" t="s">
        <v>269</v>
      </c>
      <c r="C133" s="1" t="s">
        <v>1475</v>
      </c>
      <c r="D133" s="6" t="s">
        <v>795</v>
      </c>
      <c r="E133" s="6">
        <v>1</v>
      </c>
      <c r="F133" s="6" t="s">
        <v>1265</v>
      </c>
      <c r="G133" s="1" t="s">
        <v>843</v>
      </c>
      <c r="H133" s="6" t="s">
        <v>1487</v>
      </c>
      <c r="I133" s="1" t="s">
        <v>8</v>
      </c>
      <c r="J133" s="6" t="s">
        <v>1503</v>
      </c>
      <c r="L133" s="6" t="s">
        <v>319</v>
      </c>
      <c r="M133" s="6">
        <v>33</v>
      </c>
      <c r="R133" s="6" t="s">
        <v>711</v>
      </c>
    </row>
    <row r="134" spans="1:18" ht="15" customHeight="1">
      <c r="A134" s="6" t="s">
        <v>1652</v>
      </c>
      <c r="B134" s="1" t="s">
        <v>269</v>
      </c>
      <c r="C134" s="1" t="s">
        <v>1475</v>
      </c>
      <c r="D134" s="6" t="s">
        <v>795</v>
      </c>
      <c r="E134" s="6">
        <v>1</v>
      </c>
      <c r="F134" s="6" t="s">
        <v>1265</v>
      </c>
      <c r="G134" s="1" t="s">
        <v>843</v>
      </c>
      <c r="H134" s="6" t="s">
        <v>1487</v>
      </c>
      <c r="I134" s="1" t="s">
        <v>8</v>
      </c>
      <c r="J134" s="6" t="s">
        <v>1503</v>
      </c>
      <c r="L134" s="6" t="s">
        <v>319</v>
      </c>
      <c r="M134" s="6">
        <v>31</v>
      </c>
      <c r="R134" s="6" t="s">
        <v>711</v>
      </c>
    </row>
    <row r="135" spans="1:18" ht="15" customHeight="1">
      <c r="A135" s="6" t="s">
        <v>1653</v>
      </c>
      <c r="B135" s="1" t="s">
        <v>269</v>
      </c>
      <c r="C135" s="1" t="s">
        <v>1475</v>
      </c>
      <c r="D135" s="6" t="s">
        <v>795</v>
      </c>
      <c r="E135" s="6">
        <v>1</v>
      </c>
      <c r="F135" s="6" t="s">
        <v>1265</v>
      </c>
      <c r="G135" s="1" t="s">
        <v>843</v>
      </c>
      <c r="H135" s="6" t="s">
        <v>1487</v>
      </c>
      <c r="I135" s="1" t="s">
        <v>8</v>
      </c>
      <c r="J135" s="6" t="s">
        <v>1503</v>
      </c>
      <c r="L135" s="6" t="s">
        <v>319</v>
      </c>
      <c r="M135" s="6">
        <v>31</v>
      </c>
      <c r="R135" s="6" t="s">
        <v>711</v>
      </c>
    </row>
    <row r="136" spans="1:18" ht="15.6">
      <c r="A136" s="6" t="s">
        <v>1654</v>
      </c>
      <c r="B136" s="1" t="s">
        <v>269</v>
      </c>
      <c r="C136" s="1" t="s">
        <v>1475</v>
      </c>
      <c r="D136" s="6" t="s">
        <v>795</v>
      </c>
      <c r="E136" s="6">
        <v>1</v>
      </c>
      <c r="F136" s="6" t="s">
        <v>1265</v>
      </c>
      <c r="G136" s="1" t="s">
        <v>843</v>
      </c>
      <c r="H136" s="6" t="s">
        <v>1487</v>
      </c>
      <c r="I136" s="1" t="s">
        <v>8</v>
      </c>
      <c r="J136" s="6" t="s">
        <v>1503</v>
      </c>
      <c r="L136" s="6" t="s">
        <v>319</v>
      </c>
      <c r="M136" s="6"/>
      <c r="R136" s="6" t="s">
        <v>711</v>
      </c>
    </row>
    <row r="137" spans="1:18" ht="15.6">
      <c r="A137" s="6" t="s">
        <v>1528</v>
      </c>
      <c r="B137" s="1" t="s">
        <v>269</v>
      </c>
      <c r="C137" s="1" t="s">
        <v>1475</v>
      </c>
      <c r="D137" s="6" t="s">
        <v>795</v>
      </c>
      <c r="E137" s="6">
        <v>1</v>
      </c>
      <c r="F137" s="6" t="s">
        <v>1265</v>
      </c>
      <c r="G137" s="1" t="s">
        <v>843</v>
      </c>
      <c r="H137" s="6" t="s">
        <v>1487</v>
      </c>
      <c r="I137" s="1" t="s">
        <v>8</v>
      </c>
      <c r="J137" s="6" t="s">
        <v>1503</v>
      </c>
      <c r="L137" s="6" t="s">
        <v>319</v>
      </c>
      <c r="M137" s="6">
        <v>0</v>
      </c>
      <c r="R137" s="6" t="s">
        <v>711</v>
      </c>
    </row>
    <row r="138" spans="1:18" ht="15.6">
      <c r="A138" s="6" t="s">
        <v>1655</v>
      </c>
      <c r="B138" s="1" t="s">
        <v>269</v>
      </c>
      <c r="C138" s="1" t="s">
        <v>1475</v>
      </c>
      <c r="D138" s="6" t="s">
        <v>795</v>
      </c>
      <c r="E138" s="6">
        <v>1</v>
      </c>
      <c r="F138" s="6" t="s">
        <v>1265</v>
      </c>
      <c r="G138" s="1" t="s">
        <v>843</v>
      </c>
      <c r="H138" s="6" t="s">
        <v>1487</v>
      </c>
      <c r="I138" s="1" t="s">
        <v>8</v>
      </c>
      <c r="J138" s="6" t="s">
        <v>1503</v>
      </c>
      <c r="L138" s="6" t="s">
        <v>319</v>
      </c>
      <c r="M138" s="6">
        <v>0</v>
      </c>
      <c r="R138" s="6" t="s">
        <v>711</v>
      </c>
    </row>
    <row r="139" spans="1:18" ht="15.6">
      <c r="A139" s="6" t="s">
        <v>1542</v>
      </c>
      <c r="B139" s="1" t="s">
        <v>269</v>
      </c>
      <c r="C139" s="1" t="s">
        <v>1475</v>
      </c>
      <c r="D139" s="6" t="s">
        <v>795</v>
      </c>
      <c r="E139" s="6">
        <v>1</v>
      </c>
      <c r="F139" s="6" t="s">
        <v>1265</v>
      </c>
      <c r="G139" s="1" t="s">
        <v>843</v>
      </c>
      <c r="H139" s="6" t="s">
        <v>1487</v>
      </c>
      <c r="I139" s="1" t="s">
        <v>8</v>
      </c>
      <c r="J139" s="6" t="s">
        <v>1503</v>
      </c>
      <c r="L139" s="6" t="s">
        <v>319</v>
      </c>
      <c r="M139" s="6">
        <v>33</v>
      </c>
      <c r="R139" s="6" t="s">
        <v>711</v>
      </c>
    </row>
    <row r="140" spans="1:18" ht="15.6">
      <c r="A140" s="6" t="s">
        <v>1499</v>
      </c>
      <c r="B140" s="1" t="s">
        <v>269</v>
      </c>
      <c r="C140" s="1" t="s">
        <v>1479</v>
      </c>
      <c r="D140" s="6" t="s">
        <v>1423</v>
      </c>
      <c r="E140" s="6">
        <v>1</v>
      </c>
      <c r="F140" s="6" t="s">
        <v>1265</v>
      </c>
      <c r="G140" s="6" t="s">
        <v>844</v>
      </c>
      <c r="H140" s="6" t="s">
        <v>1410</v>
      </c>
      <c r="I140" s="1" t="s">
        <v>8</v>
      </c>
      <c r="J140" s="6"/>
      <c r="L140" s="6" t="s">
        <v>319</v>
      </c>
      <c r="M140" s="6">
        <v>28</v>
      </c>
      <c r="R140" s="6" t="s">
        <v>711</v>
      </c>
    </row>
    <row r="141" spans="1:18" ht="15.6">
      <c r="A141" s="6" t="s">
        <v>1508</v>
      </c>
      <c r="B141" s="1" t="s">
        <v>269</v>
      </c>
      <c r="C141" s="1" t="s">
        <v>1479</v>
      </c>
      <c r="D141" s="6" t="s">
        <v>1423</v>
      </c>
      <c r="E141" s="6">
        <v>1</v>
      </c>
      <c r="F141" s="6" t="s">
        <v>1265</v>
      </c>
      <c r="G141" s="6" t="s">
        <v>844</v>
      </c>
      <c r="H141" s="6" t="s">
        <v>1410</v>
      </c>
      <c r="I141" s="1" t="s">
        <v>8</v>
      </c>
      <c r="J141" s="6"/>
      <c r="L141" s="6" t="s">
        <v>319</v>
      </c>
      <c r="M141" s="6">
        <v>18</v>
      </c>
      <c r="R141" s="6" t="s">
        <v>711</v>
      </c>
    </row>
    <row r="142" spans="1:18" ht="15.6">
      <c r="A142" s="6" t="s">
        <v>1469</v>
      </c>
      <c r="B142" s="1" t="s">
        <v>269</v>
      </c>
      <c r="C142" s="1" t="s">
        <v>1475</v>
      </c>
      <c r="D142" s="6" t="s">
        <v>790</v>
      </c>
      <c r="E142" s="6">
        <v>22</v>
      </c>
      <c r="F142" s="6" t="s">
        <v>1264</v>
      </c>
      <c r="G142" s="6" t="s">
        <v>844</v>
      </c>
      <c r="H142" s="1" t="s">
        <v>815</v>
      </c>
      <c r="I142" s="1" t="s">
        <v>8</v>
      </c>
      <c r="J142" s="6"/>
      <c r="K142" s="1"/>
      <c r="L142" s="6" t="s">
        <v>319</v>
      </c>
      <c r="M142" s="6">
        <v>759</v>
      </c>
      <c r="R142" t="s">
        <v>1006</v>
      </c>
    </row>
    <row r="143" spans="1:18" ht="15.6">
      <c r="A143" s="6" t="s">
        <v>1647</v>
      </c>
      <c r="B143" s="1" t="s">
        <v>269</v>
      </c>
      <c r="C143" s="1" t="s">
        <v>1475</v>
      </c>
      <c r="D143" s="6" t="s">
        <v>790</v>
      </c>
      <c r="E143" s="6">
        <v>1</v>
      </c>
      <c r="F143" s="6" t="s">
        <v>1264</v>
      </c>
      <c r="G143" s="6" t="s">
        <v>844</v>
      </c>
      <c r="H143" s="1" t="s">
        <v>815</v>
      </c>
      <c r="I143" s="1" t="s">
        <v>8</v>
      </c>
      <c r="J143" s="6"/>
      <c r="K143" s="1"/>
      <c r="L143" s="6" t="s">
        <v>319</v>
      </c>
      <c r="M143" s="6"/>
      <c r="R143" t="s">
        <v>1006</v>
      </c>
    </row>
    <row r="144" spans="1:18" ht="15.6">
      <c r="A144" s="6" t="s">
        <v>1504</v>
      </c>
      <c r="B144" s="1" t="s">
        <v>269</v>
      </c>
      <c r="C144" s="1" t="s">
        <v>1477</v>
      </c>
      <c r="D144" s="6" t="s">
        <v>790</v>
      </c>
      <c r="E144" s="6">
        <v>4</v>
      </c>
      <c r="F144" s="6" t="s">
        <v>1265</v>
      </c>
      <c r="G144" s="6" t="s">
        <v>844</v>
      </c>
      <c r="H144" s="1" t="s">
        <v>1505</v>
      </c>
      <c r="I144" s="1" t="s">
        <v>8</v>
      </c>
      <c r="L144" s="6" t="s">
        <v>319</v>
      </c>
      <c r="M144" s="6">
        <v>84</v>
      </c>
      <c r="R144" s="6" t="s">
        <v>711</v>
      </c>
    </row>
    <row r="145" spans="1:18" ht="15.6">
      <c r="A145" s="6" t="s">
        <v>1517</v>
      </c>
      <c r="B145" s="1" t="s">
        <v>269</v>
      </c>
      <c r="C145" s="1" t="s">
        <v>1475</v>
      </c>
      <c r="D145" s="6" t="s">
        <v>790</v>
      </c>
      <c r="E145" s="6">
        <v>1</v>
      </c>
      <c r="F145" s="6" t="s">
        <v>1265</v>
      </c>
      <c r="G145" s="6" t="s">
        <v>844</v>
      </c>
      <c r="H145" s="6" t="s">
        <v>1518</v>
      </c>
      <c r="I145" s="1" t="s">
        <v>8</v>
      </c>
      <c r="J145" s="6" t="s">
        <v>1503</v>
      </c>
      <c r="L145" s="6" t="s">
        <v>319</v>
      </c>
      <c r="M145" s="6">
        <v>22</v>
      </c>
      <c r="R145" s="6" t="s">
        <v>711</v>
      </c>
    </row>
    <row r="146" spans="1:18" ht="15.6">
      <c r="A146" s="6" t="s">
        <v>1661</v>
      </c>
      <c r="B146" s="1" t="s">
        <v>269</v>
      </c>
      <c r="C146" s="1" t="s">
        <v>1477</v>
      </c>
      <c r="D146" s="6" t="s">
        <v>1536</v>
      </c>
      <c r="E146" s="6">
        <v>1</v>
      </c>
      <c r="F146" s="6" t="s">
        <v>1265</v>
      </c>
      <c r="G146" s="6" t="s">
        <v>844</v>
      </c>
      <c r="H146" s="6" t="s">
        <v>1537</v>
      </c>
      <c r="I146" s="1" t="s">
        <v>8</v>
      </c>
      <c r="J146" s="6"/>
      <c r="L146" s="6" t="s">
        <v>319</v>
      </c>
      <c r="M146" s="6">
        <v>15</v>
      </c>
      <c r="R146" s="6" t="s">
        <v>711</v>
      </c>
    </row>
    <row r="147" spans="1:18" ht="15.6">
      <c r="A147" s="6" t="s">
        <v>1662</v>
      </c>
      <c r="B147" s="1" t="s">
        <v>269</v>
      </c>
      <c r="C147" s="1" t="s">
        <v>1477</v>
      </c>
      <c r="D147" s="6" t="s">
        <v>1536</v>
      </c>
      <c r="E147" s="6">
        <v>1</v>
      </c>
      <c r="F147" s="6" t="s">
        <v>1265</v>
      </c>
      <c r="G147" s="6" t="s">
        <v>844</v>
      </c>
      <c r="H147" s="6" t="s">
        <v>1537</v>
      </c>
      <c r="I147" s="1" t="s">
        <v>8</v>
      </c>
      <c r="J147" s="6"/>
      <c r="L147" s="6" t="s">
        <v>319</v>
      </c>
      <c r="M147" s="6">
        <v>15</v>
      </c>
      <c r="R147" s="6" t="s">
        <v>711</v>
      </c>
    </row>
    <row r="148" spans="1:18" ht="15.6">
      <c r="A148" s="6" t="s">
        <v>1663</v>
      </c>
      <c r="B148" s="1" t="s">
        <v>269</v>
      </c>
      <c r="C148" s="1" t="s">
        <v>1477</v>
      </c>
      <c r="D148" s="6" t="s">
        <v>1536</v>
      </c>
      <c r="E148" s="6">
        <v>1</v>
      </c>
      <c r="F148" s="6" t="s">
        <v>1265</v>
      </c>
      <c r="G148" s="6" t="s">
        <v>844</v>
      </c>
      <c r="H148" s="6" t="s">
        <v>1537</v>
      </c>
      <c r="I148" s="1" t="s">
        <v>8</v>
      </c>
      <c r="J148" s="6"/>
      <c r="L148" s="6" t="s">
        <v>319</v>
      </c>
      <c r="M148" s="6">
        <v>15</v>
      </c>
      <c r="R148" s="6" t="s">
        <v>711</v>
      </c>
    </row>
    <row r="149" spans="1:18" ht="15.6">
      <c r="A149" s="6" t="s">
        <v>1664</v>
      </c>
      <c r="B149" s="1" t="s">
        <v>269</v>
      </c>
      <c r="C149" s="1" t="s">
        <v>1477</v>
      </c>
      <c r="D149" s="6" t="s">
        <v>1536</v>
      </c>
      <c r="E149" s="6">
        <v>1</v>
      </c>
      <c r="F149" s="6" t="s">
        <v>1265</v>
      </c>
      <c r="G149" s="6" t="s">
        <v>844</v>
      </c>
      <c r="H149" s="6" t="s">
        <v>1537</v>
      </c>
      <c r="I149" s="1" t="s">
        <v>8</v>
      </c>
      <c r="J149" s="6"/>
      <c r="L149" s="6" t="s">
        <v>319</v>
      </c>
      <c r="M149" s="6">
        <v>25</v>
      </c>
      <c r="R149" s="6" t="s">
        <v>711</v>
      </c>
    </row>
    <row r="150" spans="1:18" ht="15.6">
      <c r="A150" s="6" t="s">
        <v>1552</v>
      </c>
      <c r="B150" s="1" t="s">
        <v>269</v>
      </c>
      <c r="C150" s="1" t="s">
        <v>1475</v>
      </c>
      <c r="D150" s="6" t="s">
        <v>790</v>
      </c>
      <c r="E150" s="6">
        <v>1</v>
      </c>
      <c r="F150" s="6" t="s">
        <v>1265</v>
      </c>
      <c r="G150" s="6" t="s">
        <v>844</v>
      </c>
      <c r="H150" s="6" t="s">
        <v>1543</v>
      </c>
      <c r="I150" s="1" t="s">
        <v>8</v>
      </c>
      <c r="J150" s="6"/>
      <c r="L150" s="6" t="s">
        <v>319</v>
      </c>
      <c r="M150" s="6">
        <v>18</v>
      </c>
      <c r="R150" s="6" t="s">
        <v>711</v>
      </c>
    </row>
    <row r="151" spans="1:18" ht="15.6">
      <c r="A151" s="6" t="s">
        <v>1553</v>
      </c>
      <c r="B151" s="1" t="s">
        <v>269</v>
      </c>
      <c r="C151" s="1" t="s">
        <v>1475</v>
      </c>
      <c r="D151" s="6" t="s">
        <v>790</v>
      </c>
      <c r="E151" s="6">
        <v>1</v>
      </c>
      <c r="F151" s="6" t="s">
        <v>1265</v>
      </c>
      <c r="G151" s="6" t="s">
        <v>844</v>
      </c>
      <c r="H151" s="6" t="s">
        <v>1543</v>
      </c>
      <c r="I151" s="1" t="s">
        <v>8</v>
      </c>
      <c r="J151" s="6"/>
      <c r="L151" s="6" t="s">
        <v>319</v>
      </c>
      <c r="M151" s="6">
        <v>17</v>
      </c>
      <c r="R151" s="6" t="s">
        <v>711</v>
      </c>
    </row>
    <row r="152" spans="1:18" ht="15.6">
      <c r="A152" s="6" t="s">
        <v>1546</v>
      </c>
      <c r="B152" s="1" t="s">
        <v>269</v>
      </c>
      <c r="C152" s="1" t="s">
        <v>1475</v>
      </c>
      <c r="D152" s="6" t="s">
        <v>790</v>
      </c>
      <c r="E152" s="6">
        <v>1</v>
      </c>
      <c r="F152" s="6" t="s">
        <v>1265</v>
      </c>
      <c r="G152" s="6" t="s">
        <v>844</v>
      </c>
      <c r="H152" s="6" t="s">
        <v>1543</v>
      </c>
      <c r="I152" s="1" t="s">
        <v>8</v>
      </c>
      <c r="J152" s="6"/>
      <c r="L152" s="6" t="s">
        <v>319</v>
      </c>
      <c r="M152" s="6">
        <v>11</v>
      </c>
      <c r="R152" s="6" t="s">
        <v>711</v>
      </c>
    </row>
    <row r="153" spans="1:18" ht="15.6">
      <c r="A153" s="6" t="s">
        <v>1544</v>
      </c>
      <c r="B153" s="1" t="s">
        <v>269</v>
      </c>
      <c r="C153" s="1" t="s">
        <v>1475</v>
      </c>
      <c r="D153" s="6" t="s">
        <v>790</v>
      </c>
      <c r="E153" s="6">
        <v>1</v>
      </c>
      <c r="F153" s="6" t="s">
        <v>1265</v>
      </c>
      <c r="G153" s="6" t="s">
        <v>844</v>
      </c>
      <c r="H153" s="6" t="s">
        <v>1543</v>
      </c>
      <c r="I153" s="1" t="s">
        <v>8</v>
      </c>
      <c r="J153" s="6"/>
      <c r="L153" s="6" t="s">
        <v>319</v>
      </c>
      <c r="M153" s="6">
        <v>10</v>
      </c>
      <c r="R153" s="6" t="s">
        <v>711</v>
      </c>
    </row>
    <row r="154" spans="1:18" ht="15.6">
      <c r="A154" s="6" t="s">
        <v>1554</v>
      </c>
      <c r="B154" s="1" t="s">
        <v>269</v>
      </c>
      <c r="C154" s="1" t="s">
        <v>1475</v>
      </c>
      <c r="D154" s="6" t="s">
        <v>790</v>
      </c>
      <c r="E154" s="6">
        <v>1</v>
      </c>
      <c r="F154" s="6" t="s">
        <v>1265</v>
      </c>
      <c r="G154" s="6" t="s">
        <v>844</v>
      </c>
      <c r="H154" s="6" t="s">
        <v>1543</v>
      </c>
      <c r="I154" s="1" t="s">
        <v>8</v>
      </c>
      <c r="J154" s="6"/>
      <c r="L154" s="6" t="s">
        <v>319</v>
      </c>
      <c r="M154" s="6">
        <v>30</v>
      </c>
      <c r="R154" s="6" t="s">
        <v>711</v>
      </c>
    </row>
    <row r="155" spans="1:18" ht="15.6">
      <c r="A155" s="6" t="s">
        <v>1583</v>
      </c>
      <c r="B155" s="1" t="s">
        <v>269</v>
      </c>
      <c r="C155" s="1" t="s">
        <v>1475</v>
      </c>
      <c r="D155" s="6" t="s">
        <v>790</v>
      </c>
      <c r="E155" s="6">
        <v>1</v>
      </c>
      <c r="F155" s="6" t="s">
        <v>1265</v>
      </c>
      <c r="G155" s="6" t="s">
        <v>844</v>
      </c>
      <c r="H155" s="6" t="s">
        <v>1543</v>
      </c>
      <c r="I155" s="1" t="s">
        <v>8</v>
      </c>
      <c r="J155" s="6"/>
      <c r="L155" s="6" t="s">
        <v>319</v>
      </c>
      <c r="M155" s="6">
        <v>10</v>
      </c>
      <c r="R155" s="6" t="s">
        <v>711</v>
      </c>
    </row>
    <row r="156" spans="1:18" ht="15.6">
      <c r="A156" s="6" t="s">
        <v>1626</v>
      </c>
      <c r="B156" s="1" t="s">
        <v>269</v>
      </c>
      <c r="C156" s="1" t="s">
        <v>1475</v>
      </c>
      <c r="D156" s="6" t="s">
        <v>790</v>
      </c>
      <c r="E156" s="6">
        <v>1</v>
      </c>
      <c r="F156" s="6" t="s">
        <v>1265</v>
      </c>
      <c r="G156" s="6" t="s">
        <v>844</v>
      </c>
      <c r="H156" s="6" t="s">
        <v>1543</v>
      </c>
      <c r="I156" s="1" t="s">
        <v>8</v>
      </c>
      <c r="J156" s="6"/>
      <c r="L156" s="6" t="s">
        <v>319</v>
      </c>
      <c r="M156" s="6">
        <v>11</v>
      </c>
      <c r="R156" s="6" t="s">
        <v>711</v>
      </c>
    </row>
    <row r="157" spans="1:18" ht="15.6">
      <c r="A157" s="6" t="s">
        <v>1548</v>
      </c>
      <c r="B157" s="1" t="s">
        <v>269</v>
      </c>
      <c r="C157" s="1" t="s">
        <v>1477</v>
      </c>
      <c r="D157" s="6" t="s">
        <v>790</v>
      </c>
      <c r="E157" s="6">
        <v>1</v>
      </c>
      <c r="F157" s="6" t="s">
        <v>1265</v>
      </c>
      <c r="G157" s="6" t="s">
        <v>844</v>
      </c>
      <c r="H157" s="6" t="s">
        <v>1550</v>
      </c>
      <c r="I157" s="1" t="s">
        <v>8</v>
      </c>
      <c r="J157" s="6"/>
      <c r="L157" s="6" t="s">
        <v>319</v>
      </c>
      <c r="M157" s="6">
        <v>11</v>
      </c>
      <c r="R157" s="6" t="s">
        <v>711</v>
      </c>
    </row>
    <row r="158" spans="1:18" ht="15.6">
      <c r="A158" s="6" t="s">
        <v>1603</v>
      </c>
      <c r="B158" s="1" t="s">
        <v>269</v>
      </c>
      <c r="C158" s="1" t="s">
        <v>1477</v>
      </c>
      <c r="D158" s="6" t="s">
        <v>790</v>
      </c>
      <c r="E158" s="6">
        <v>1</v>
      </c>
      <c r="F158" s="6" t="s">
        <v>1265</v>
      </c>
      <c r="G158" s="6" t="s">
        <v>844</v>
      </c>
      <c r="H158" s="6" t="s">
        <v>1550</v>
      </c>
      <c r="I158" s="1" t="s">
        <v>8</v>
      </c>
      <c r="J158" s="6"/>
      <c r="L158" s="6" t="s">
        <v>319</v>
      </c>
      <c r="M158" s="6">
        <v>11</v>
      </c>
      <c r="R158" s="6" t="s">
        <v>711</v>
      </c>
    </row>
    <row r="159" spans="1:18" ht="15.6">
      <c r="A159" s="6" t="s">
        <v>1549</v>
      </c>
      <c r="B159" s="1" t="s">
        <v>269</v>
      </c>
      <c r="C159" s="1" t="s">
        <v>1477</v>
      </c>
      <c r="D159" s="6" t="s">
        <v>790</v>
      </c>
      <c r="E159" s="6">
        <v>1</v>
      </c>
      <c r="F159" s="6" t="s">
        <v>1265</v>
      </c>
      <c r="G159" s="6" t="s">
        <v>844</v>
      </c>
      <c r="H159" s="6" t="s">
        <v>1550</v>
      </c>
      <c r="I159" s="1" t="s">
        <v>8</v>
      </c>
      <c r="J159" s="6"/>
      <c r="L159" s="6" t="s">
        <v>319</v>
      </c>
      <c r="M159" s="6">
        <v>10</v>
      </c>
      <c r="R159" s="6" t="s">
        <v>711</v>
      </c>
    </row>
    <row r="160" spans="1:18" ht="15.6">
      <c r="A160" s="6" t="s">
        <v>1619</v>
      </c>
      <c r="B160" s="1" t="s">
        <v>269</v>
      </c>
      <c r="C160" s="1" t="s">
        <v>1477</v>
      </c>
      <c r="D160" s="6" t="s">
        <v>790</v>
      </c>
      <c r="E160" s="6">
        <v>1</v>
      </c>
      <c r="F160" s="6" t="s">
        <v>1265</v>
      </c>
      <c r="G160" s="6" t="s">
        <v>844</v>
      </c>
      <c r="H160" s="6" t="s">
        <v>1550</v>
      </c>
      <c r="I160" s="1" t="s">
        <v>8</v>
      </c>
      <c r="J160" s="6"/>
      <c r="L160" s="6" t="s">
        <v>319</v>
      </c>
      <c r="M160" s="6">
        <v>13</v>
      </c>
      <c r="R160" s="6" t="s">
        <v>711</v>
      </c>
    </row>
    <row r="161" spans="1:18" ht="15.6">
      <c r="A161" s="6" t="s">
        <v>1620</v>
      </c>
      <c r="B161" s="1" t="s">
        <v>269</v>
      </c>
      <c r="C161" s="1" t="s">
        <v>1477</v>
      </c>
      <c r="D161" s="6" t="s">
        <v>790</v>
      </c>
      <c r="E161" s="6">
        <v>1</v>
      </c>
      <c r="F161" s="6" t="s">
        <v>1265</v>
      </c>
      <c r="G161" s="6" t="s">
        <v>844</v>
      </c>
      <c r="H161" s="6" t="s">
        <v>1550</v>
      </c>
      <c r="I161" s="1" t="s">
        <v>8</v>
      </c>
      <c r="J161" s="6"/>
      <c r="L161" s="6" t="s">
        <v>319</v>
      </c>
      <c r="M161" s="6">
        <v>12</v>
      </c>
      <c r="R161" s="6" t="s">
        <v>711</v>
      </c>
    </row>
    <row r="162" spans="1:18" ht="15.6">
      <c r="A162" s="6" t="s">
        <v>1621</v>
      </c>
      <c r="B162" s="1" t="s">
        <v>269</v>
      </c>
      <c r="C162" s="1" t="s">
        <v>1477</v>
      </c>
      <c r="D162" s="6" t="s">
        <v>790</v>
      </c>
      <c r="E162" s="6">
        <v>1</v>
      </c>
      <c r="F162" s="6" t="s">
        <v>1265</v>
      </c>
      <c r="G162" s="6" t="s">
        <v>844</v>
      </c>
      <c r="H162" s="6" t="s">
        <v>1550</v>
      </c>
      <c r="I162" s="1" t="s">
        <v>8</v>
      </c>
      <c r="J162" s="6"/>
      <c r="L162" s="6" t="s">
        <v>319</v>
      </c>
      <c r="M162" s="6">
        <v>16</v>
      </c>
      <c r="R162" s="6" t="s">
        <v>711</v>
      </c>
    </row>
    <row r="163" spans="1:18" ht="15.6">
      <c r="A163" s="6" t="s">
        <v>1622</v>
      </c>
      <c r="B163" s="1" t="s">
        <v>269</v>
      </c>
      <c r="C163" s="1" t="s">
        <v>1477</v>
      </c>
      <c r="D163" s="6" t="s">
        <v>790</v>
      </c>
      <c r="E163" s="6">
        <v>1</v>
      </c>
      <c r="F163" s="6" t="s">
        <v>1265</v>
      </c>
      <c r="G163" s="6" t="s">
        <v>844</v>
      </c>
      <c r="H163" s="6" t="s">
        <v>1550</v>
      </c>
      <c r="I163" s="1" t="s">
        <v>8</v>
      </c>
      <c r="J163" s="6"/>
      <c r="L163" s="6" t="s">
        <v>319</v>
      </c>
      <c r="M163" s="6">
        <v>11</v>
      </c>
      <c r="R163" s="6" t="s">
        <v>711</v>
      </c>
    </row>
    <row r="164" spans="1:18" ht="15.6">
      <c r="A164" s="6" t="s">
        <v>1623</v>
      </c>
      <c r="B164" s="1" t="s">
        <v>269</v>
      </c>
      <c r="C164" s="1" t="s">
        <v>1477</v>
      </c>
      <c r="D164" s="6" t="s">
        <v>790</v>
      </c>
      <c r="E164" s="6">
        <v>1</v>
      </c>
      <c r="F164" s="6" t="s">
        <v>1265</v>
      </c>
      <c r="G164" s="6" t="s">
        <v>844</v>
      </c>
      <c r="H164" s="6" t="s">
        <v>1550</v>
      </c>
      <c r="I164" s="1" t="s">
        <v>8</v>
      </c>
      <c r="J164" s="6"/>
      <c r="L164" s="6" t="s">
        <v>319</v>
      </c>
      <c r="M164" s="6">
        <v>13</v>
      </c>
      <c r="R164" s="6" t="s">
        <v>711</v>
      </c>
    </row>
    <row r="165" spans="1:18" ht="15.6">
      <c r="A165" s="6" t="s">
        <v>1624</v>
      </c>
      <c r="B165" s="1" t="s">
        <v>269</v>
      </c>
      <c r="C165" s="1" t="s">
        <v>1477</v>
      </c>
      <c r="D165" s="6" t="s">
        <v>790</v>
      </c>
      <c r="E165" s="6">
        <v>1</v>
      </c>
      <c r="F165" s="6" t="s">
        <v>1265</v>
      </c>
      <c r="G165" s="6" t="s">
        <v>844</v>
      </c>
      <c r="H165" s="6" t="s">
        <v>1550</v>
      </c>
      <c r="I165" s="1" t="s">
        <v>8</v>
      </c>
      <c r="J165" s="6"/>
      <c r="L165" s="6" t="s">
        <v>319</v>
      </c>
      <c r="M165" s="6">
        <v>15</v>
      </c>
      <c r="R165" s="6" t="s">
        <v>711</v>
      </c>
    </row>
    <row r="166" spans="1:18" ht="15.6">
      <c r="A166" s="6" t="s">
        <v>1625</v>
      </c>
      <c r="B166" s="1" t="s">
        <v>269</v>
      </c>
      <c r="C166" s="1" t="s">
        <v>1477</v>
      </c>
      <c r="D166" s="6" t="s">
        <v>790</v>
      </c>
      <c r="E166" s="6">
        <v>1</v>
      </c>
      <c r="F166" s="6" t="s">
        <v>1265</v>
      </c>
      <c r="G166" s="6" t="s">
        <v>844</v>
      </c>
      <c r="H166" s="6" t="s">
        <v>1550</v>
      </c>
      <c r="I166" s="1" t="s">
        <v>8</v>
      </c>
      <c r="J166" s="6"/>
      <c r="L166" s="6" t="s">
        <v>319</v>
      </c>
      <c r="M166" s="6">
        <v>21</v>
      </c>
      <c r="R166" s="6" t="s">
        <v>711</v>
      </c>
    </row>
    <row r="167" spans="1:18" ht="15.6">
      <c r="A167" s="6" t="s">
        <v>1767</v>
      </c>
      <c r="B167" s="1" t="s">
        <v>269</v>
      </c>
      <c r="C167" s="1" t="s">
        <v>1477</v>
      </c>
      <c r="D167" s="6" t="s">
        <v>790</v>
      </c>
      <c r="E167" s="6">
        <v>1</v>
      </c>
      <c r="F167" s="6" t="s">
        <v>1265</v>
      </c>
      <c r="G167" s="6" t="s">
        <v>844</v>
      </c>
      <c r="H167" s="6" t="s">
        <v>1550</v>
      </c>
      <c r="I167" s="1" t="s">
        <v>8</v>
      </c>
      <c r="J167" s="6"/>
      <c r="L167" s="6" t="s">
        <v>319</v>
      </c>
      <c r="M167" s="6"/>
      <c r="R167" s="6" t="s">
        <v>711</v>
      </c>
    </row>
    <row r="168" spans="1:18" ht="15.6">
      <c r="A168" s="6" t="s">
        <v>1604</v>
      </c>
      <c r="B168" s="1" t="s">
        <v>269</v>
      </c>
      <c r="C168" s="1" t="s">
        <v>898</v>
      </c>
      <c r="D168" s="6" t="s">
        <v>790</v>
      </c>
      <c r="E168" s="6">
        <v>1</v>
      </c>
      <c r="F168" s="1" t="s">
        <v>1265</v>
      </c>
      <c r="G168" s="1" t="s">
        <v>844</v>
      </c>
      <c r="H168" s="6" t="s">
        <v>1559</v>
      </c>
      <c r="I168" s="1" t="s">
        <v>8</v>
      </c>
      <c r="J168" s="6"/>
      <c r="L168" s="6" t="s">
        <v>319</v>
      </c>
      <c r="M168" s="6"/>
      <c r="R168" s="6" t="s">
        <v>711</v>
      </c>
    </row>
    <row r="169" spans="1:18" ht="15.6">
      <c r="A169" s="6" t="s">
        <v>1558</v>
      </c>
      <c r="B169" s="1" t="s">
        <v>269</v>
      </c>
      <c r="C169" s="1" t="s">
        <v>898</v>
      </c>
      <c r="D169" s="6" t="s">
        <v>790</v>
      </c>
      <c r="E169" s="6">
        <v>1</v>
      </c>
      <c r="F169" s="1" t="s">
        <v>1265</v>
      </c>
      <c r="G169" s="1" t="s">
        <v>844</v>
      </c>
      <c r="H169" s="6" t="s">
        <v>1559</v>
      </c>
      <c r="I169" s="1" t="s">
        <v>8</v>
      </c>
      <c r="J169" s="6"/>
      <c r="L169" s="6" t="s">
        <v>319</v>
      </c>
      <c r="M169" s="6">
        <v>21</v>
      </c>
      <c r="R169" s="6" t="s">
        <v>711</v>
      </c>
    </row>
    <row r="170" spans="1:18" ht="15.6">
      <c r="A170" s="6" t="s">
        <v>1561</v>
      </c>
      <c r="B170" s="1" t="s">
        <v>269</v>
      </c>
      <c r="C170" s="1" t="s">
        <v>898</v>
      </c>
      <c r="D170" s="6" t="s">
        <v>790</v>
      </c>
      <c r="E170" s="6">
        <v>1</v>
      </c>
      <c r="F170" s="1" t="s">
        <v>1265</v>
      </c>
      <c r="G170" s="1" t="s">
        <v>844</v>
      </c>
      <c r="H170" s="6" t="s">
        <v>1559</v>
      </c>
      <c r="I170" s="1" t="s">
        <v>8</v>
      </c>
      <c r="J170" s="6"/>
      <c r="L170" s="6" t="s">
        <v>319</v>
      </c>
      <c r="M170" s="6">
        <v>20</v>
      </c>
      <c r="R170" s="6" t="s">
        <v>711</v>
      </c>
    </row>
    <row r="171" spans="1:18" ht="15.6">
      <c r="A171" s="6" t="s">
        <v>1560</v>
      </c>
      <c r="B171" s="1" t="s">
        <v>269</v>
      </c>
      <c r="C171" s="1" t="s">
        <v>898</v>
      </c>
      <c r="D171" s="6" t="s">
        <v>790</v>
      </c>
      <c r="E171" s="6">
        <v>1</v>
      </c>
      <c r="F171" s="1" t="s">
        <v>1265</v>
      </c>
      <c r="G171" s="1" t="s">
        <v>844</v>
      </c>
      <c r="H171" s="6" t="s">
        <v>1559</v>
      </c>
      <c r="I171" s="1" t="s">
        <v>8</v>
      </c>
      <c r="J171" s="6"/>
      <c r="L171" s="6" t="s">
        <v>319</v>
      </c>
      <c r="M171" s="6">
        <v>21</v>
      </c>
      <c r="R171" s="6" t="s">
        <v>711</v>
      </c>
    </row>
    <row r="172" spans="1:18" ht="15.6">
      <c r="A172" s="6" t="s">
        <v>1607</v>
      </c>
      <c r="B172" s="1" t="s">
        <v>269</v>
      </c>
      <c r="C172" s="1" t="s">
        <v>1475</v>
      </c>
      <c r="D172" s="6" t="s">
        <v>790</v>
      </c>
      <c r="E172" s="6">
        <v>1</v>
      </c>
      <c r="F172" s="1" t="s">
        <v>1263</v>
      </c>
      <c r="G172" s="1" t="s">
        <v>844</v>
      </c>
      <c r="H172" s="6" t="s">
        <v>1610</v>
      </c>
      <c r="I172" s="1" t="s">
        <v>8</v>
      </c>
      <c r="J172" s="6" t="s">
        <v>1503</v>
      </c>
      <c r="L172" s="6" t="s">
        <v>319</v>
      </c>
      <c r="M172" s="6">
        <v>180</v>
      </c>
      <c r="R172" s="6" t="s">
        <v>1006</v>
      </c>
    </row>
    <row r="173" spans="1:18" ht="15.6">
      <c r="A173" s="6" t="s">
        <v>1611</v>
      </c>
      <c r="B173" s="1" t="s">
        <v>269</v>
      </c>
      <c r="C173" s="1" t="s">
        <v>1475</v>
      </c>
      <c r="D173" s="6" t="s">
        <v>790</v>
      </c>
      <c r="E173" s="6">
        <v>1</v>
      </c>
      <c r="F173" s="1" t="s">
        <v>1263</v>
      </c>
      <c r="G173" s="1" t="s">
        <v>844</v>
      </c>
      <c r="H173" s="6" t="s">
        <v>1610</v>
      </c>
      <c r="I173" s="1" t="s">
        <v>8</v>
      </c>
      <c r="J173" s="6" t="s">
        <v>1503</v>
      </c>
      <c r="L173" s="6" t="s">
        <v>319</v>
      </c>
      <c r="M173" s="6">
        <v>190</v>
      </c>
      <c r="R173" s="6" t="s">
        <v>1006</v>
      </c>
    </row>
    <row r="174" spans="1:18" ht="15.6">
      <c r="A174" s="6" t="s">
        <v>1608</v>
      </c>
      <c r="B174" s="1" t="s">
        <v>269</v>
      </c>
      <c r="C174" s="1" t="s">
        <v>1475</v>
      </c>
      <c r="D174" s="6" t="s">
        <v>790</v>
      </c>
      <c r="E174" s="6">
        <v>1</v>
      </c>
      <c r="F174" s="1" t="s">
        <v>1263</v>
      </c>
      <c r="G174" s="1" t="s">
        <v>844</v>
      </c>
      <c r="H174" s="6" t="s">
        <v>1610</v>
      </c>
      <c r="I174" s="1" t="s">
        <v>8</v>
      </c>
      <c r="J174" s="6" t="s">
        <v>1503</v>
      </c>
      <c r="L174" s="6" t="s">
        <v>319</v>
      </c>
      <c r="M174" s="6">
        <v>115</v>
      </c>
      <c r="R174" s="6" t="s">
        <v>1006</v>
      </c>
    </row>
    <row r="175" spans="1:18" ht="15.6">
      <c r="A175" s="6" t="s">
        <v>1609</v>
      </c>
      <c r="B175" s="1" t="s">
        <v>269</v>
      </c>
      <c r="C175" s="1" t="s">
        <v>1475</v>
      </c>
      <c r="D175" s="6" t="s">
        <v>790</v>
      </c>
      <c r="E175" s="6">
        <v>1</v>
      </c>
      <c r="F175" s="1" t="s">
        <v>1263</v>
      </c>
      <c r="G175" s="1" t="s">
        <v>844</v>
      </c>
      <c r="H175" s="6" t="s">
        <v>1610</v>
      </c>
      <c r="I175" s="1" t="s">
        <v>8</v>
      </c>
      <c r="J175" s="6" t="s">
        <v>1503</v>
      </c>
      <c r="L175" s="6" t="s">
        <v>319</v>
      </c>
      <c r="M175" s="6">
        <v>115</v>
      </c>
      <c r="R175" s="6" t="s">
        <v>1006</v>
      </c>
    </row>
    <row r="176" spans="1:18" ht="15.6">
      <c r="A176" s="6" t="s">
        <v>1563</v>
      </c>
      <c r="B176" s="1" t="s">
        <v>269</v>
      </c>
      <c r="C176" s="1" t="s">
        <v>898</v>
      </c>
      <c r="D176" s="6" t="s">
        <v>790</v>
      </c>
      <c r="E176" s="6">
        <v>1</v>
      </c>
      <c r="F176" s="1" t="s">
        <v>1274</v>
      </c>
      <c r="G176" s="1" t="s">
        <v>844</v>
      </c>
      <c r="H176" s="6" t="s">
        <v>1564</v>
      </c>
      <c r="I176" s="1" t="s">
        <v>8</v>
      </c>
      <c r="J176" s="6"/>
      <c r="L176" s="6" t="s">
        <v>319</v>
      </c>
      <c r="M176" s="6">
        <v>247</v>
      </c>
      <c r="R176" s="6" t="s">
        <v>1411</v>
      </c>
    </row>
    <row r="177" spans="1:18" ht="15.6">
      <c r="A177" s="6" t="s">
        <v>1636</v>
      </c>
      <c r="B177" s="1" t="s">
        <v>269</v>
      </c>
      <c r="C177" s="1" t="s">
        <v>1474</v>
      </c>
      <c r="D177" s="6" t="s">
        <v>790</v>
      </c>
      <c r="E177" s="6">
        <v>1</v>
      </c>
      <c r="F177" s="1" t="s">
        <v>1265</v>
      </c>
      <c r="G177" s="1" t="s">
        <v>844</v>
      </c>
      <c r="H177" s="6" t="s">
        <v>1637</v>
      </c>
      <c r="I177" s="1" t="s">
        <v>8</v>
      </c>
      <c r="J177" s="6"/>
      <c r="L177" s="6" t="s">
        <v>319</v>
      </c>
      <c r="M177" s="6">
        <v>25</v>
      </c>
      <c r="R177" s="6" t="s">
        <v>711</v>
      </c>
    </row>
    <row r="178" spans="1:18" ht="15.6">
      <c r="A178" s="6" t="s">
        <v>1677</v>
      </c>
      <c r="B178" s="1" t="s">
        <v>269</v>
      </c>
      <c r="C178" s="1" t="s">
        <v>1474</v>
      </c>
      <c r="D178" s="6" t="s">
        <v>790</v>
      </c>
      <c r="E178" s="6">
        <v>1</v>
      </c>
      <c r="F178" s="1" t="s">
        <v>1265</v>
      </c>
      <c r="G178" s="1" t="s">
        <v>844</v>
      </c>
      <c r="H178" s="6" t="s">
        <v>1637</v>
      </c>
      <c r="I178" s="1" t="s">
        <v>8</v>
      </c>
      <c r="J178" s="6"/>
      <c r="L178" s="6" t="s">
        <v>319</v>
      </c>
      <c r="M178" s="6">
        <v>21</v>
      </c>
      <c r="R178" s="6" t="s">
        <v>711</v>
      </c>
    </row>
    <row r="179" spans="1:18" ht="15.6">
      <c r="A179" s="6" t="s">
        <v>1678</v>
      </c>
      <c r="B179" s="1" t="s">
        <v>269</v>
      </c>
      <c r="C179" s="1" t="s">
        <v>1474</v>
      </c>
      <c r="D179" s="6" t="s">
        <v>790</v>
      </c>
      <c r="E179" s="6">
        <v>1</v>
      </c>
      <c r="F179" s="1" t="s">
        <v>1265</v>
      </c>
      <c r="G179" s="1" t="s">
        <v>844</v>
      </c>
      <c r="H179" s="6" t="s">
        <v>1637</v>
      </c>
      <c r="I179" s="1" t="s">
        <v>8</v>
      </c>
      <c r="J179" s="6"/>
      <c r="L179" s="6" t="s">
        <v>319</v>
      </c>
      <c r="M179" s="6">
        <v>21</v>
      </c>
      <c r="R179" s="6" t="s">
        <v>711</v>
      </c>
    </row>
    <row r="180" spans="1:18" ht="15.6">
      <c r="A180" s="6" t="s">
        <v>1679</v>
      </c>
      <c r="B180" s="1" t="s">
        <v>269</v>
      </c>
      <c r="C180" s="1" t="s">
        <v>1474</v>
      </c>
      <c r="D180" s="6" t="s">
        <v>790</v>
      </c>
      <c r="E180" s="6">
        <v>1</v>
      </c>
      <c r="F180" s="1" t="s">
        <v>1265</v>
      </c>
      <c r="G180" s="1" t="s">
        <v>844</v>
      </c>
      <c r="H180" s="6" t="s">
        <v>1637</v>
      </c>
      <c r="I180" s="1" t="s">
        <v>8</v>
      </c>
      <c r="J180" s="6"/>
      <c r="L180" s="6" t="s">
        <v>319</v>
      </c>
      <c r="M180" s="6">
        <v>13</v>
      </c>
      <c r="R180" s="6" t="s">
        <v>711</v>
      </c>
    </row>
    <row r="181" spans="1:18" ht="15.6">
      <c r="A181" s="6" t="s">
        <v>1680</v>
      </c>
      <c r="B181" s="1" t="s">
        <v>269</v>
      </c>
      <c r="C181" s="1" t="s">
        <v>1474</v>
      </c>
      <c r="D181" s="6" t="s">
        <v>790</v>
      </c>
      <c r="E181" s="6">
        <v>1</v>
      </c>
      <c r="F181" s="1" t="s">
        <v>1265</v>
      </c>
      <c r="G181" s="1" t="s">
        <v>844</v>
      </c>
      <c r="H181" s="6" t="s">
        <v>1637</v>
      </c>
      <c r="I181" s="1" t="s">
        <v>8</v>
      </c>
      <c r="J181" s="6"/>
      <c r="L181" s="6" t="s">
        <v>319</v>
      </c>
      <c r="M181" s="6">
        <v>15</v>
      </c>
      <c r="R181" s="6" t="s">
        <v>711</v>
      </c>
    </row>
    <row r="182" spans="1:18" ht="15.6">
      <c r="A182" s="6" t="s">
        <v>1681</v>
      </c>
      <c r="B182" s="1" t="s">
        <v>269</v>
      </c>
      <c r="C182" s="1" t="s">
        <v>1474</v>
      </c>
      <c r="D182" s="6" t="s">
        <v>790</v>
      </c>
      <c r="E182" s="6">
        <v>1</v>
      </c>
      <c r="F182" s="1" t="s">
        <v>1265</v>
      </c>
      <c r="G182" s="1" t="s">
        <v>844</v>
      </c>
      <c r="H182" s="6" t="s">
        <v>1637</v>
      </c>
      <c r="I182" s="1" t="s">
        <v>8</v>
      </c>
      <c r="J182" s="6"/>
      <c r="L182" s="6" t="s">
        <v>319</v>
      </c>
      <c r="M182" s="6">
        <v>15</v>
      </c>
      <c r="R182" s="6" t="s">
        <v>711</v>
      </c>
    </row>
    <row r="183" spans="1:18" ht="15.6">
      <c r="A183" s="6" t="s">
        <v>1682</v>
      </c>
      <c r="B183" s="1" t="s">
        <v>269</v>
      </c>
      <c r="C183" s="1" t="s">
        <v>1474</v>
      </c>
      <c r="D183" s="6" t="s">
        <v>790</v>
      </c>
      <c r="E183" s="6">
        <v>1</v>
      </c>
      <c r="F183" s="1" t="s">
        <v>1265</v>
      </c>
      <c r="G183" s="1" t="s">
        <v>844</v>
      </c>
      <c r="H183" s="6" t="s">
        <v>1637</v>
      </c>
      <c r="I183" s="1" t="s">
        <v>8</v>
      </c>
      <c r="J183" s="6"/>
      <c r="L183" s="6" t="s">
        <v>319</v>
      </c>
      <c r="M183" s="6"/>
      <c r="R183" s="6" t="s">
        <v>711</v>
      </c>
    </row>
    <row r="184" spans="1:18" ht="15.6">
      <c r="A184" s="6" t="s">
        <v>1676</v>
      </c>
      <c r="B184" s="1" t="s">
        <v>269</v>
      </c>
      <c r="C184" s="1" t="s">
        <v>1475</v>
      </c>
      <c r="D184" s="6" t="s">
        <v>790</v>
      </c>
      <c r="E184" s="6">
        <v>1</v>
      </c>
      <c r="F184" s="1" t="s">
        <v>1265</v>
      </c>
      <c r="G184" s="6" t="s">
        <v>844</v>
      </c>
      <c r="H184" s="1" t="s">
        <v>1251</v>
      </c>
      <c r="I184" s="1" t="s">
        <v>8</v>
      </c>
      <c r="J184" s="6"/>
      <c r="L184" s="6" t="s">
        <v>319</v>
      </c>
      <c r="M184" s="6">
        <v>1972</v>
      </c>
      <c r="R184" s="6" t="s">
        <v>1725</v>
      </c>
    </row>
    <row r="185" spans="1:18" ht="15.6">
      <c r="A185" s="6" t="s">
        <v>1683</v>
      </c>
      <c r="B185" s="1" t="s">
        <v>269</v>
      </c>
      <c r="C185" s="1" t="s">
        <v>1475</v>
      </c>
      <c r="D185" s="6" t="s">
        <v>790</v>
      </c>
      <c r="E185" s="6">
        <v>1</v>
      </c>
      <c r="F185" s="1" t="s">
        <v>1265</v>
      </c>
      <c r="G185" s="6" t="s">
        <v>844</v>
      </c>
      <c r="H185" s="1" t="s">
        <v>1251</v>
      </c>
      <c r="I185" s="1" t="s">
        <v>8</v>
      </c>
      <c r="J185" s="6" t="s">
        <v>1503</v>
      </c>
      <c r="L185" s="6" t="s">
        <v>319</v>
      </c>
      <c r="M185" s="6">
        <v>90</v>
      </c>
      <c r="R185" s="6" t="s">
        <v>1006</v>
      </c>
    </row>
    <row r="186" spans="1:18" ht="15.6">
      <c r="A186" s="6" t="s">
        <v>1645</v>
      </c>
      <c r="B186" s="1" t="s">
        <v>269</v>
      </c>
      <c r="C186" s="1" t="s">
        <v>1475</v>
      </c>
      <c r="D186" s="6" t="s">
        <v>790</v>
      </c>
      <c r="E186" s="6">
        <v>1</v>
      </c>
      <c r="F186" s="1" t="s">
        <v>1265</v>
      </c>
      <c r="G186" s="6" t="s">
        <v>844</v>
      </c>
      <c r="H186" s="1" t="s">
        <v>1251</v>
      </c>
      <c r="I186" s="1" t="s">
        <v>8</v>
      </c>
      <c r="J186" s="6" t="s">
        <v>1503</v>
      </c>
      <c r="L186" s="6" t="s">
        <v>319</v>
      </c>
      <c r="M186" s="6">
        <v>95</v>
      </c>
      <c r="R186" s="6" t="s">
        <v>1006</v>
      </c>
    </row>
    <row r="187" spans="1:18" ht="15.6">
      <c r="A187" s="6" t="s">
        <v>1565</v>
      </c>
      <c r="B187" s="1" t="s">
        <v>269</v>
      </c>
      <c r="C187" s="1" t="s">
        <v>898</v>
      </c>
      <c r="D187" s="6" t="s">
        <v>790</v>
      </c>
      <c r="E187" s="6">
        <v>1</v>
      </c>
      <c r="F187" s="1" t="s">
        <v>1265</v>
      </c>
      <c r="G187" s="1" t="s">
        <v>844</v>
      </c>
      <c r="H187" s="6" t="s">
        <v>1566</v>
      </c>
      <c r="I187" s="1" t="s">
        <v>8</v>
      </c>
      <c r="J187" s="6"/>
      <c r="L187" s="6" t="s">
        <v>319</v>
      </c>
      <c r="M187" s="6">
        <v>13</v>
      </c>
      <c r="R187" s="6" t="s">
        <v>711</v>
      </c>
    </row>
    <row r="188" spans="1:18" ht="15.6">
      <c r="A188" s="6" t="s">
        <v>1686</v>
      </c>
      <c r="B188" s="1" t="s">
        <v>269</v>
      </c>
      <c r="C188" s="1" t="s">
        <v>1474</v>
      </c>
      <c r="D188" s="6" t="s">
        <v>790</v>
      </c>
      <c r="E188" s="6">
        <v>8</v>
      </c>
      <c r="F188" s="1" t="s">
        <v>1265</v>
      </c>
      <c r="G188" s="1" t="s">
        <v>844</v>
      </c>
      <c r="H188" s="6" t="s">
        <v>1687</v>
      </c>
      <c r="I188" s="1" t="s">
        <v>29</v>
      </c>
      <c r="J188" s="6"/>
      <c r="L188" s="6" t="s">
        <v>319</v>
      </c>
      <c r="M188" s="6">
        <v>370</v>
      </c>
      <c r="R188" s="6" t="s">
        <v>1006</v>
      </c>
    </row>
    <row r="189" spans="1:18" ht="15.6">
      <c r="A189" s="6" t="s">
        <v>1685</v>
      </c>
      <c r="B189" s="1" t="s">
        <v>269</v>
      </c>
      <c r="C189" s="1" t="s">
        <v>1481</v>
      </c>
      <c r="D189" s="6" t="s">
        <v>1423</v>
      </c>
      <c r="E189" s="6">
        <v>9</v>
      </c>
      <c r="F189" s="1" t="s">
        <v>1684</v>
      </c>
      <c r="G189" s="1" t="s">
        <v>844</v>
      </c>
      <c r="H189" s="6" t="s">
        <v>1256</v>
      </c>
      <c r="I189" s="1" t="s">
        <v>29</v>
      </c>
      <c r="J189" s="6"/>
      <c r="L189" s="6" t="s">
        <v>319</v>
      </c>
      <c r="M189" s="6">
        <v>320</v>
      </c>
      <c r="R189" s="6" t="s">
        <v>1006</v>
      </c>
    </row>
    <row r="190" spans="1:18" ht="15.6">
      <c r="A190" s="6" t="s">
        <v>1688</v>
      </c>
      <c r="B190" s="1" t="s">
        <v>269</v>
      </c>
      <c r="C190" s="1" t="s">
        <v>1477</v>
      </c>
      <c r="D190" s="6" t="s">
        <v>790</v>
      </c>
      <c r="E190" s="6">
        <v>4</v>
      </c>
      <c r="F190" s="1" t="s">
        <v>1684</v>
      </c>
      <c r="G190" s="1" t="s">
        <v>844</v>
      </c>
      <c r="H190" s="6" t="s">
        <v>1256</v>
      </c>
      <c r="I190" s="1" t="s">
        <v>29</v>
      </c>
      <c r="J190" s="6"/>
      <c r="L190" s="6" t="s">
        <v>319</v>
      </c>
      <c r="M190" s="6">
        <v>200</v>
      </c>
      <c r="R190" s="6" t="s">
        <v>1006</v>
      </c>
    </row>
    <row r="191" spans="1:18" ht="15.6">
      <c r="A191" s="6" t="s">
        <v>1693</v>
      </c>
      <c r="B191" s="1" t="s">
        <v>269</v>
      </c>
      <c r="C191" s="1" t="s">
        <v>1475</v>
      </c>
      <c r="D191" s="6" t="s">
        <v>795</v>
      </c>
      <c r="E191" s="6">
        <v>2</v>
      </c>
      <c r="F191" s="1" t="s">
        <v>1265</v>
      </c>
      <c r="G191" s="1" t="s">
        <v>844</v>
      </c>
      <c r="H191" s="6" t="s">
        <v>1694</v>
      </c>
      <c r="I191" s="1" t="s">
        <v>8</v>
      </c>
      <c r="L191" s="6" t="s">
        <v>319</v>
      </c>
      <c r="M191" s="6">
        <v>255</v>
      </c>
      <c r="R191" s="6" t="s">
        <v>793</v>
      </c>
    </row>
    <row r="192" spans="1:18" ht="15.6">
      <c r="A192" s="6" t="s">
        <v>1692</v>
      </c>
      <c r="B192" s="1" t="s">
        <v>269</v>
      </c>
      <c r="C192" s="1" t="s">
        <v>1475</v>
      </c>
      <c r="D192" s="6" t="s">
        <v>795</v>
      </c>
      <c r="E192" s="6">
        <v>1</v>
      </c>
      <c r="F192" s="1" t="s">
        <v>1265</v>
      </c>
      <c r="G192" s="1" t="s">
        <v>844</v>
      </c>
      <c r="H192" s="6" t="s">
        <v>1694</v>
      </c>
      <c r="I192" s="1" t="s">
        <v>8</v>
      </c>
      <c r="J192" s="6"/>
      <c r="L192" s="6" t="s">
        <v>319</v>
      </c>
      <c r="M192" s="6">
        <v>91</v>
      </c>
      <c r="R192" s="6" t="s">
        <v>793</v>
      </c>
    </row>
    <row r="193" spans="1:18" ht="15.6">
      <c r="A193" s="6" t="s">
        <v>1692</v>
      </c>
      <c r="B193" s="1" t="s">
        <v>269</v>
      </c>
      <c r="C193" s="1" t="s">
        <v>1475</v>
      </c>
      <c r="D193" s="6" t="s">
        <v>795</v>
      </c>
      <c r="E193" s="6">
        <v>1</v>
      </c>
      <c r="F193" s="1" t="s">
        <v>1265</v>
      </c>
      <c r="G193" s="1" t="s">
        <v>844</v>
      </c>
      <c r="H193" s="6" t="s">
        <v>1694</v>
      </c>
      <c r="I193" s="1" t="s">
        <v>8</v>
      </c>
      <c r="J193" s="6"/>
      <c r="L193" s="6" t="s">
        <v>319</v>
      </c>
      <c r="M193" s="6">
        <v>91</v>
      </c>
      <c r="R193" s="6" t="s">
        <v>1695</v>
      </c>
    </row>
    <row r="194" spans="1:18" ht="15.6">
      <c r="A194" s="6" t="s">
        <v>1703</v>
      </c>
      <c r="B194" s="1" t="s">
        <v>269</v>
      </c>
      <c r="C194" s="1" t="s">
        <v>898</v>
      </c>
      <c r="D194" s="6" t="s">
        <v>790</v>
      </c>
      <c r="E194" s="6">
        <v>2</v>
      </c>
      <c r="F194" s="1" t="s">
        <v>1265</v>
      </c>
      <c r="G194" s="1" t="s">
        <v>844</v>
      </c>
      <c r="H194" s="6" t="s">
        <v>1704</v>
      </c>
      <c r="I194" s="1" t="s">
        <v>8</v>
      </c>
      <c r="J194" s="6"/>
      <c r="L194" s="6" t="s">
        <v>319</v>
      </c>
      <c r="M194" s="6">
        <v>69</v>
      </c>
      <c r="R194" s="6" t="s">
        <v>793</v>
      </c>
    </row>
    <row r="195" spans="1:18" ht="15.6">
      <c r="A195" s="6" t="s">
        <v>1714</v>
      </c>
      <c r="B195" s="1" t="s">
        <v>269</v>
      </c>
      <c r="C195" s="1" t="s">
        <v>1475</v>
      </c>
      <c r="D195" s="6" t="s">
        <v>790</v>
      </c>
      <c r="E195" s="6">
        <v>1</v>
      </c>
      <c r="F195" s="1" t="s">
        <v>1264</v>
      </c>
      <c r="G195" s="1" t="s">
        <v>844</v>
      </c>
      <c r="H195" s="6" t="s">
        <v>1706</v>
      </c>
      <c r="I195" s="1" t="s">
        <v>8</v>
      </c>
      <c r="J195" s="6" t="s">
        <v>1503</v>
      </c>
      <c r="L195" s="6" t="s">
        <v>319</v>
      </c>
      <c r="M195" s="6">
        <v>25</v>
      </c>
      <c r="R195" s="6" t="s">
        <v>711</v>
      </c>
    </row>
    <row r="196" spans="1:18" ht="15.6">
      <c r="A196" s="6" t="s">
        <v>1724</v>
      </c>
      <c r="B196" s="1" t="s">
        <v>269</v>
      </c>
      <c r="C196" s="1" t="s">
        <v>1475</v>
      </c>
      <c r="D196" s="6" t="s">
        <v>790</v>
      </c>
      <c r="E196" s="6">
        <v>1</v>
      </c>
      <c r="F196" s="1" t="s">
        <v>1264</v>
      </c>
      <c r="G196" s="1" t="s">
        <v>844</v>
      </c>
      <c r="H196" s="6" t="s">
        <v>1706</v>
      </c>
      <c r="I196" s="1" t="s">
        <v>8</v>
      </c>
      <c r="J196" s="6" t="s">
        <v>1503</v>
      </c>
      <c r="L196" s="6" t="s">
        <v>319</v>
      </c>
      <c r="M196" s="6">
        <v>21</v>
      </c>
      <c r="R196" s="6" t="s">
        <v>711</v>
      </c>
    </row>
    <row r="197" spans="1:18" ht="15.6">
      <c r="A197" s="6" t="s">
        <v>1729</v>
      </c>
      <c r="B197" s="1" t="s">
        <v>269</v>
      </c>
      <c r="C197" s="1" t="s">
        <v>1475</v>
      </c>
      <c r="D197" s="6" t="s">
        <v>790</v>
      </c>
      <c r="E197" s="6">
        <v>1</v>
      </c>
      <c r="F197" s="1" t="s">
        <v>1264</v>
      </c>
      <c r="G197" s="1" t="s">
        <v>844</v>
      </c>
      <c r="H197" s="6" t="s">
        <v>1706</v>
      </c>
      <c r="I197" s="1" t="s">
        <v>8</v>
      </c>
      <c r="J197" s="6" t="s">
        <v>1503</v>
      </c>
      <c r="L197" s="6" t="s">
        <v>319</v>
      </c>
      <c r="M197" s="6">
        <v>23</v>
      </c>
      <c r="R197" s="6" t="s">
        <v>711</v>
      </c>
    </row>
    <row r="198" spans="1:18" ht="15.6">
      <c r="A198" s="6" t="s">
        <v>1730</v>
      </c>
      <c r="B198" s="1" t="s">
        <v>269</v>
      </c>
      <c r="C198" s="1" t="s">
        <v>1475</v>
      </c>
      <c r="D198" s="6" t="s">
        <v>790</v>
      </c>
      <c r="E198" s="6">
        <v>1</v>
      </c>
      <c r="F198" s="1" t="s">
        <v>1264</v>
      </c>
      <c r="G198" s="1" t="s">
        <v>844</v>
      </c>
      <c r="H198" s="6" t="s">
        <v>1706</v>
      </c>
      <c r="I198" s="1" t="s">
        <v>8</v>
      </c>
      <c r="J198" s="6" t="s">
        <v>1503</v>
      </c>
      <c r="L198" s="6" t="s">
        <v>319</v>
      </c>
      <c r="M198" s="6">
        <v>55</v>
      </c>
      <c r="R198" s="6" t="s">
        <v>711</v>
      </c>
    </row>
    <row r="199" spans="1:18" ht="15.6">
      <c r="A199" s="6" t="s">
        <v>1769</v>
      </c>
      <c r="B199" s="1" t="s">
        <v>269</v>
      </c>
      <c r="C199" s="1" t="s">
        <v>1475</v>
      </c>
      <c r="D199" s="6" t="s">
        <v>790</v>
      </c>
      <c r="E199" s="6">
        <v>1</v>
      </c>
      <c r="F199" s="1" t="s">
        <v>1264</v>
      </c>
      <c r="G199" s="1" t="s">
        <v>844</v>
      </c>
      <c r="H199" s="6" t="s">
        <v>1706</v>
      </c>
      <c r="I199" s="1" t="s">
        <v>8</v>
      </c>
      <c r="J199" s="6" t="s">
        <v>1503</v>
      </c>
      <c r="L199" s="6" t="s">
        <v>319</v>
      </c>
      <c r="M199" s="6">
        <v>24</v>
      </c>
      <c r="R199" s="6" t="s">
        <v>711</v>
      </c>
    </row>
    <row r="200" spans="1:18" ht="15.6">
      <c r="A200" s="6" t="s">
        <v>1705</v>
      </c>
      <c r="B200" s="1" t="s">
        <v>269</v>
      </c>
      <c r="C200" s="1" t="s">
        <v>1475</v>
      </c>
      <c r="D200" s="6" t="s">
        <v>790</v>
      </c>
      <c r="E200" s="6">
        <v>1</v>
      </c>
      <c r="F200" s="1" t="s">
        <v>1264</v>
      </c>
      <c r="G200" s="1" t="s">
        <v>844</v>
      </c>
      <c r="H200" s="6" t="s">
        <v>1706</v>
      </c>
      <c r="I200" s="1" t="s">
        <v>8</v>
      </c>
      <c r="J200" s="6" t="s">
        <v>1503</v>
      </c>
      <c r="L200" s="6" t="s">
        <v>319</v>
      </c>
      <c r="M200" s="6">
        <v>36</v>
      </c>
      <c r="R200" s="6" t="s">
        <v>711</v>
      </c>
    </row>
    <row r="201" spans="1:18" ht="15.6">
      <c r="A201" s="6" t="s">
        <v>1715</v>
      </c>
      <c r="B201" s="1" t="s">
        <v>269</v>
      </c>
      <c r="C201" s="1" t="s">
        <v>898</v>
      </c>
      <c r="D201" s="6" t="s">
        <v>790</v>
      </c>
      <c r="E201" s="6">
        <v>1</v>
      </c>
      <c r="F201" s="1" t="s">
        <v>1265</v>
      </c>
      <c r="G201" s="1" t="s">
        <v>844</v>
      </c>
      <c r="H201" s="6" t="s">
        <v>1709</v>
      </c>
      <c r="I201" s="1" t="s">
        <v>8</v>
      </c>
      <c r="J201" s="6"/>
      <c r="L201" s="6" t="s">
        <v>319</v>
      </c>
      <c r="M201" s="6">
        <v>13</v>
      </c>
      <c r="R201" s="6" t="s">
        <v>711</v>
      </c>
    </row>
    <row r="202" spans="1:18" ht="15.6">
      <c r="A202" s="6" t="s">
        <v>1716</v>
      </c>
      <c r="B202" s="1" t="s">
        <v>269</v>
      </c>
      <c r="C202" s="1" t="s">
        <v>1475</v>
      </c>
      <c r="D202" s="6" t="s">
        <v>790</v>
      </c>
      <c r="E202" s="6">
        <v>1</v>
      </c>
      <c r="F202" s="1" t="s">
        <v>1265</v>
      </c>
      <c r="G202" s="1" t="s">
        <v>844</v>
      </c>
      <c r="H202" s="6" t="s">
        <v>1717</v>
      </c>
      <c r="I202" s="1" t="s">
        <v>8</v>
      </c>
      <c r="J202" s="6"/>
      <c r="L202" s="6" t="s">
        <v>319</v>
      </c>
      <c r="M202" s="6">
        <v>35</v>
      </c>
      <c r="R202" s="6" t="s">
        <v>711</v>
      </c>
    </row>
    <row r="203" spans="1:18" ht="15.6">
      <c r="A203" s="6" t="s">
        <v>1718</v>
      </c>
      <c r="B203" s="1" t="s">
        <v>269</v>
      </c>
      <c r="C203" s="1" t="s">
        <v>1475</v>
      </c>
      <c r="D203" s="6" t="s">
        <v>790</v>
      </c>
      <c r="E203" s="6">
        <v>1</v>
      </c>
      <c r="F203" s="1" t="s">
        <v>1265</v>
      </c>
      <c r="G203" s="1" t="s">
        <v>844</v>
      </c>
      <c r="H203" s="6" t="s">
        <v>1717</v>
      </c>
      <c r="I203" s="1" t="s">
        <v>8</v>
      </c>
      <c r="J203" s="6" t="s">
        <v>1503</v>
      </c>
      <c r="L203" s="6" t="s">
        <v>319</v>
      </c>
      <c r="M203" s="6">
        <v>23</v>
      </c>
      <c r="R203" s="6" t="s">
        <v>711</v>
      </c>
    </row>
    <row r="204" spans="1:18" ht="15.6">
      <c r="A204" s="6" t="s">
        <v>1720</v>
      </c>
      <c r="B204" s="1" t="s">
        <v>269</v>
      </c>
      <c r="C204" s="1" t="s">
        <v>1579</v>
      </c>
      <c r="D204" s="6" t="s">
        <v>790</v>
      </c>
      <c r="E204" s="6">
        <v>1</v>
      </c>
      <c r="F204" s="1" t="s">
        <v>1263</v>
      </c>
      <c r="G204" s="1" t="s">
        <v>844</v>
      </c>
      <c r="H204" s="1" t="s">
        <v>1719</v>
      </c>
      <c r="I204" s="1" t="s">
        <v>8</v>
      </c>
      <c r="J204" s="6"/>
      <c r="K204" s="1"/>
      <c r="L204" s="6" t="s">
        <v>319</v>
      </c>
      <c r="M204" s="6">
        <v>34</v>
      </c>
      <c r="R204" s="6" t="s">
        <v>711</v>
      </c>
    </row>
    <row r="205" spans="1:18" ht="15.6">
      <c r="A205" s="6" t="s">
        <v>1731</v>
      </c>
      <c r="B205" s="1" t="s">
        <v>269</v>
      </c>
      <c r="C205" s="1" t="s">
        <v>1477</v>
      </c>
      <c r="D205" s="6" t="s">
        <v>790</v>
      </c>
      <c r="E205" s="6">
        <v>9</v>
      </c>
      <c r="F205" s="1" t="s">
        <v>1263</v>
      </c>
      <c r="G205" s="1" t="s">
        <v>843</v>
      </c>
      <c r="H205" s="6" t="s">
        <v>1040</v>
      </c>
      <c r="I205" s="1" t="s">
        <v>8</v>
      </c>
      <c r="J205" s="6"/>
      <c r="K205" s="1" t="s">
        <v>1345</v>
      </c>
      <c r="L205" s="6" t="s">
        <v>319</v>
      </c>
      <c r="M205" s="6">
        <v>212</v>
      </c>
      <c r="R205" s="6" t="s">
        <v>711</v>
      </c>
    </row>
    <row r="206" spans="1:18" ht="15.6">
      <c r="A206" s="6" t="s">
        <v>1732</v>
      </c>
      <c r="B206" s="1" t="s">
        <v>269</v>
      </c>
      <c r="C206" s="1" t="s">
        <v>1477</v>
      </c>
      <c r="D206" s="6" t="s">
        <v>1011</v>
      </c>
      <c r="E206" s="6">
        <v>1</v>
      </c>
      <c r="F206" s="1" t="s">
        <v>1263</v>
      </c>
      <c r="G206" s="1" t="s">
        <v>844</v>
      </c>
      <c r="H206" s="1" t="s">
        <v>1733</v>
      </c>
      <c r="I206" s="1" t="s">
        <v>8</v>
      </c>
      <c r="J206" s="6"/>
      <c r="K206" s="1"/>
      <c r="L206" s="6" t="s">
        <v>319</v>
      </c>
      <c r="M206" s="6">
        <v>22</v>
      </c>
      <c r="R206" s="6" t="s">
        <v>711</v>
      </c>
    </row>
    <row r="207" spans="1:18" ht="15.6">
      <c r="A207" s="6" t="s">
        <v>1734</v>
      </c>
      <c r="B207" s="1" t="s">
        <v>269</v>
      </c>
      <c r="C207" s="1" t="s">
        <v>1477</v>
      </c>
      <c r="D207" s="6" t="s">
        <v>1011</v>
      </c>
      <c r="E207" s="6">
        <v>1</v>
      </c>
      <c r="F207" s="1" t="s">
        <v>1263</v>
      </c>
      <c r="G207" s="1" t="s">
        <v>844</v>
      </c>
      <c r="H207" s="1" t="s">
        <v>1733</v>
      </c>
      <c r="I207" s="1" t="s">
        <v>8</v>
      </c>
      <c r="J207" s="6"/>
      <c r="K207" s="1"/>
      <c r="L207" s="6" t="s">
        <v>319</v>
      </c>
      <c r="M207" s="6">
        <v>22</v>
      </c>
      <c r="R207" s="6" t="s">
        <v>711</v>
      </c>
    </row>
    <row r="208" spans="1:18" ht="15.6">
      <c r="A208" s="6" t="s">
        <v>1735</v>
      </c>
      <c r="B208" s="1" t="s">
        <v>269</v>
      </c>
      <c r="C208" s="1" t="s">
        <v>1477</v>
      </c>
      <c r="D208" s="6" t="s">
        <v>1011</v>
      </c>
      <c r="E208" s="6">
        <v>1</v>
      </c>
      <c r="F208" s="1" t="s">
        <v>1263</v>
      </c>
      <c r="G208" s="1" t="s">
        <v>844</v>
      </c>
      <c r="H208" s="1" t="s">
        <v>1733</v>
      </c>
      <c r="I208" s="1" t="s">
        <v>8</v>
      </c>
      <c r="J208" s="6"/>
      <c r="K208" s="1"/>
      <c r="L208" s="6" t="s">
        <v>319</v>
      </c>
      <c r="M208" s="6">
        <v>45</v>
      </c>
      <c r="R208" s="6" t="s">
        <v>711</v>
      </c>
    </row>
    <row r="209" spans="1:18" ht="15.6">
      <c r="A209" s="6" t="s">
        <v>1736</v>
      </c>
      <c r="B209" s="1" t="s">
        <v>269</v>
      </c>
      <c r="C209" s="6" t="s">
        <v>1475</v>
      </c>
      <c r="D209" s="6" t="s">
        <v>795</v>
      </c>
      <c r="E209" s="6">
        <v>1</v>
      </c>
      <c r="F209" s="1" t="s">
        <v>1265</v>
      </c>
      <c r="G209" s="1" t="s">
        <v>844</v>
      </c>
      <c r="H209" s="1" t="s">
        <v>1738</v>
      </c>
      <c r="I209" s="1" t="s">
        <v>8</v>
      </c>
      <c r="J209" s="6"/>
      <c r="K209" s="1"/>
      <c r="L209" s="6" t="s">
        <v>319</v>
      </c>
      <c r="M209" s="6">
        <v>30</v>
      </c>
      <c r="R209" s="6" t="s">
        <v>711</v>
      </c>
    </row>
    <row r="210" spans="1:18" ht="15.6">
      <c r="A210" s="6" t="s">
        <v>1737</v>
      </c>
      <c r="B210" s="1" t="s">
        <v>269</v>
      </c>
      <c r="C210" s="6" t="s">
        <v>1475</v>
      </c>
      <c r="D210" s="6" t="s">
        <v>795</v>
      </c>
      <c r="E210" s="6">
        <v>1</v>
      </c>
      <c r="F210" s="1" t="s">
        <v>1265</v>
      </c>
      <c r="G210" s="1" t="s">
        <v>844</v>
      </c>
      <c r="H210" s="1" t="s">
        <v>1738</v>
      </c>
      <c r="I210" s="1" t="s">
        <v>8</v>
      </c>
      <c r="J210" s="6"/>
      <c r="K210" s="1"/>
      <c r="L210" s="6" t="s">
        <v>319</v>
      </c>
      <c r="M210" s="6">
        <v>31</v>
      </c>
      <c r="R210" s="6" t="s">
        <v>711</v>
      </c>
    </row>
    <row r="211" spans="1:18" ht="15.6">
      <c r="A211" s="6"/>
      <c r="B211" s="1"/>
      <c r="C211" s="6"/>
      <c r="D211" s="6"/>
      <c r="E211" s="6"/>
      <c r="F211" s="6"/>
      <c r="G211" s="6"/>
      <c r="H211" s="6"/>
      <c r="I211" s="1"/>
      <c r="J211" s="6"/>
      <c r="L211" s="6"/>
      <c r="M211" s="6"/>
      <c r="R211" s="6"/>
    </row>
    <row r="212" spans="1:18" ht="15.6">
      <c r="A212" s="6"/>
      <c r="B212" s="1"/>
      <c r="C212" s="1"/>
      <c r="D212" s="6"/>
      <c r="E212" s="6"/>
      <c r="F212" s="6"/>
      <c r="G212" s="6"/>
      <c r="H212" s="6"/>
      <c r="I212" s="1"/>
      <c r="J212" s="6"/>
      <c r="L212" s="6"/>
      <c r="M212" s="6"/>
      <c r="R212" s="6"/>
    </row>
    <row r="213" spans="1:18" ht="15.6">
      <c r="A213" s="6"/>
      <c r="B213" s="1"/>
      <c r="C213" s="1"/>
      <c r="D213" s="6"/>
      <c r="E213" s="6"/>
      <c r="F213" s="1"/>
      <c r="G213" s="1"/>
      <c r="H213" s="6"/>
      <c r="I213" s="1"/>
      <c r="J213" s="6"/>
      <c r="K213" s="1"/>
      <c r="L213" s="6"/>
      <c r="M213" s="6"/>
      <c r="R213" s="1"/>
    </row>
    <row r="214" spans="1:18" ht="15.6">
      <c r="A214" s="6"/>
      <c r="B214" s="1"/>
      <c r="C214" s="1"/>
      <c r="D214" s="6"/>
      <c r="E214" s="6"/>
      <c r="F214" s="1"/>
      <c r="G214" s="1"/>
      <c r="H214" s="6"/>
      <c r="I214" s="1"/>
      <c r="J214" s="6"/>
      <c r="L214" s="6"/>
      <c r="M214" s="6"/>
      <c r="R214" s="6"/>
    </row>
    <row r="215" spans="1:18" ht="15.6">
      <c r="A215" s="6"/>
      <c r="B215" s="1"/>
      <c r="C215" s="1"/>
      <c r="D215" s="6"/>
      <c r="E215" s="6"/>
      <c r="F215" s="1"/>
      <c r="G215" s="1"/>
      <c r="H215" s="6"/>
      <c r="I215" s="1"/>
      <c r="J215" s="6"/>
      <c r="L215" s="6"/>
      <c r="M215" s="6"/>
      <c r="R215" s="6"/>
    </row>
    <row r="216" spans="1:18" ht="15.6">
      <c r="A216" s="6"/>
      <c r="B216" s="1"/>
      <c r="C216" s="1"/>
      <c r="D216" s="6"/>
      <c r="E216" s="6"/>
      <c r="F216" s="1"/>
      <c r="G216" s="1"/>
      <c r="H216" s="6"/>
      <c r="I216" s="1"/>
      <c r="J216" s="6"/>
      <c r="L216" s="6"/>
      <c r="M216" s="6"/>
      <c r="R216" s="6"/>
    </row>
    <row r="217" spans="1:18" ht="15.6">
      <c r="A217" s="6"/>
      <c r="B217" s="1"/>
      <c r="C217" s="1"/>
      <c r="D217" s="6"/>
      <c r="E217" s="6"/>
      <c r="F217" s="1"/>
      <c r="G217" s="1"/>
      <c r="H217" s="6"/>
      <c r="I217" s="1"/>
      <c r="J217" s="6"/>
      <c r="L217" s="6"/>
      <c r="M217" s="6"/>
      <c r="R217" s="6"/>
    </row>
    <row r="218" spans="1:18" ht="15.6">
      <c r="R218" s="6"/>
    </row>
    <row r="219" spans="1:18" ht="15.6">
      <c r="A219" s="6" t="s">
        <v>1248</v>
      </c>
      <c r="B219" s="1" t="s">
        <v>269</v>
      </c>
      <c r="C219" s="1"/>
      <c r="D219" s="6" t="s">
        <v>790</v>
      </c>
      <c r="E219" s="6"/>
      <c r="G219" s="1" t="s">
        <v>843</v>
      </c>
      <c r="H219" s="1" t="s">
        <v>1005</v>
      </c>
      <c r="I219" s="1"/>
      <c r="J219" s="6"/>
      <c r="M219" s="6"/>
      <c r="R219" s="6"/>
    </row>
    <row r="220" spans="1:18" ht="15.6">
      <c r="A220" s="6" t="s">
        <v>1249</v>
      </c>
      <c r="B220" s="1" t="s">
        <v>269</v>
      </c>
      <c r="C220" s="1"/>
      <c r="D220" s="6" t="s">
        <v>790</v>
      </c>
      <c r="E220" s="6"/>
      <c r="G220" s="1" t="s">
        <v>843</v>
      </c>
      <c r="H220" s="1" t="s">
        <v>1252</v>
      </c>
      <c r="J220" s="6"/>
      <c r="M220" s="6"/>
      <c r="R220" s="6"/>
    </row>
    <row r="221" spans="1:18" ht="15.6">
      <c r="A221" s="6" t="s">
        <v>1638</v>
      </c>
      <c r="B221" s="1" t="s">
        <v>269</v>
      </c>
      <c r="C221" s="1"/>
      <c r="D221" s="6" t="s">
        <v>790</v>
      </c>
      <c r="E221" s="6">
        <v>10</v>
      </c>
      <c r="G221" s="1" t="s">
        <v>843</v>
      </c>
      <c r="H221" s="1" t="s">
        <v>1256</v>
      </c>
      <c r="J221" s="6"/>
      <c r="M221" s="6"/>
      <c r="R221" s="6"/>
    </row>
    <row r="222" spans="1:18" ht="15.6">
      <c r="A222" s="6" t="s">
        <v>1649</v>
      </c>
      <c r="B222" s="1" t="s">
        <v>269</v>
      </c>
      <c r="J222" s="6"/>
      <c r="R222" s="6"/>
    </row>
    <row r="223" spans="1:18" ht="15.6">
      <c r="A223" s="6" t="s">
        <v>1747</v>
      </c>
      <c r="B223" s="1" t="s">
        <v>269</v>
      </c>
    </row>
    <row r="224" spans="1:18" ht="15.6">
      <c r="A224" s="6" t="s">
        <v>1748</v>
      </c>
      <c r="B224" s="1" t="s">
        <v>269</v>
      </c>
    </row>
    <row r="225" spans="1:2" ht="15.6">
      <c r="A225" s="6" t="s">
        <v>1768</v>
      </c>
      <c r="B225" s="1" t="s">
        <v>269</v>
      </c>
    </row>
  </sheetData>
  <autoFilter ref="A1:R212" xr:uid="{BF96F151-A2DE-4E4F-9468-4205087BBFEB}"/>
  <conditionalFormatting sqref="R50:R51 A48:B52 A200 M200 G48:J55 L48:M55 J192 D48:E52 R48 A202 L97:L100 S97:S100 L86:L95 S86:S95 A158:G166 I158:J166 L158:M166 A185:H186 B184:H184 B179:G183 A179:A184 A187:G190 A191:A192 E191:E192 R158:R166 M191:M192 E200 R200 J200 A221:A224 M219:M221 R219:R222 I219 A219:E220 G219:H220 A211:G217 I214:J217 L214:M217 I211:J212 L211:M212 R211:R217 I213:M213 R168:R192 L168:M190 I168:J190 A168:G178 J219:J1048576">
    <cfRule type="expression" dxfId="995" priority="2093">
      <formula>$L48="卖出"</formula>
    </cfRule>
  </conditionalFormatting>
  <conditionalFormatting sqref="R52">
    <cfRule type="expression" dxfId="994" priority="2066">
      <formula>$L52="卖出"</formula>
    </cfRule>
  </conditionalFormatting>
  <conditionalFormatting sqref="R49">
    <cfRule type="expression" dxfId="993" priority="2065">
      <formula>$L49="卖出"</formula>
    </cfRule>
  </conditionalFormatting>
  <conditionalFormatting sqref="A53:B54 D53:E54">
    <cfRule type="expression" dxfId="992" priority="2064">
      <formula>$L53="卖出"</formula>
    </cfRule>
  </conditionalFormatting>
  <conditionalFormatting sqref="R53:R54">
    <cfRule type="expression" dxfId="991" priority="2063">
      <formula>$L53="卖出"</formula>
    </cfRule>
  </conditionalFormatting>
  <conditionalFormatting sqref="R55">
    <cfRule type="expression" dxfId="990" priority="1992">
      <formula>$L55="卖出"</formula>
    </cfRule>
  </conditionalFormatting>
  <conditionalFormatting sqref="A55:B55 D55:E55">
    <cfRule type="expression" dxfId="989" priority="2008">
      <formula>$L55="卖出"</formula>
    </cfRule>
  </conditionalFormatting>
  <conditionalFormatting sqref="F48:F55">
    <cfRule type="expression" dxfId="988" priority="1949">
      <formula>$L48="卖出"</formula>
    </cfRule>
  </conditionalFormatting>
  <conditionalFormatting sqref="A201">
    <cfRule type="expression" dxfId="987" priority="1555">
      <formula>$L201="卖出"</formula>
    </cfRule>
  </conditionalFormatting>
  <conditionalFormatting sqref="A209">
    <cfRule type="expression" dxfId="986" priority="1511">
      <formula>$L209="卖出"</formula>
    </cfRule>
  </conditionalFormatting>
  <conditionalFormatting sqref="C48:C55">
    <cfRule type="expression" dxfId="985" priority="1182">
      <formula>$L48="卖出"</formula>
    </cfRule>
  </conditionalFormatting>
  <conditionalFormatting sqref="E221">
    <cfRule type="expression" dxfId="984" priority="1007">
      <formula>$L221="卖出"</formula>
    </cfRule>
  </conditionalFormatting>
  <conditionalFormatting sqref="H221">
    <cfRule type="expression" dxfId="983" priority="1006">
      <formula>$L221="卖出"</formula>
    </cfRule>
  </conditionalFormatting>
  <conditionalFormatting sqref="B221:C221">
    <cfRule type="expression" dxfId="982" priority="1005">
      <formula>$L221="卖出"</formula>
    </cfRule>
  </conditionalFormatting>
  <conditionalFormatting sqref="G221">
    <cfRule type="expression" dxfId="981" priority="1004">
      <formula>$L221="卖出"</formula>
    </cfRule>
  </conditionalFormatting>
  <conditionalFormatting sqref="D221">
    <cfRule type="expression" dxfId="980" priority="1003">
      <formula>$L221="卖出"</formula>
    </cfRule>
  </conditionalFormatting>
  <conditionalFormatting sqref="R23">
    <cfRule type="expression" dxfId="979" priority="896">
      <formula>$L23="卖出"</formula>
    </cfRule>
  </conditionalFormatting>
  <conditionalFormatting sqref="F23">
    <cfRule type="expression" dxfId="978" priority="895">
      <formula>$L23="卖出"</formula>
    </cfRule>
  </conditionalFormatting>
  <conditionalFormatting sqref="C23">
    <cfRule type="expression" dxfId="977" priority="894">
      <formula>$L23="卖出"</formula>
    </cfRule>
  </conditionalFormatting>
  <conditionalFormatting sqref="R24 R29:R30 A27:B27 K24 K26 A29:E30 D27:E27 A24:B25 D24:E25 L24:M30 G24:J30">
    <cfRule type="expression" dxfId="976" priority="893">
      <formula>$L24="卖出"</formula>
    </cfRule>
  </conditionalFormatting>
  <conditionalFormatting sqref="F24">
    <cfRule type="expression" dxfId="975" priority="892">
      <formula>$L24="卖出"</formula>
    </cfRule>
  </conditionalFormatting>
  <conditionalFormatting sqref="R218">
    <cfRule type="expression" dxfId="974" priority="2096">
      <formula>#REF!="卖出"</formula>
    </cfRule>
  </conditionalFormatting>
  <conditionalFormatting sqref="C3:C6">
    <cfRule type="expression" dxfId="973" priority="941">
      <formula>$L3="卖出"</formula>
    </cfRule>
  </conditionalFormatting>
  <conditionalFormatting sqref="J204:K204 A204 M204">
    <cfRule type="expression" dxfId="972" priority="985">
      <formula>$L204="卖出"</formula>
    </cfRule>
  </conditionalFormatting>
  <conditionalFormatting sqref="B222">
    <cfRule type="expression" dxfId="971" priority="974">
      <formula>$L222="卖出"</formula>
    </cfRule>
  </conditionalFormatting>
  <conditionalFormatting sqref="H204">
    <cfRule type="expression" dxfId="970" priority="979">
      <formula>$L204="卖出"</formula>
    </cfRule>
  </conditionalFormatting>
  <conditionalFormatting sqref="R7:R8 G8:I8 L7:M8 J7:J8 A7:I7">
    <cfRule type="expression" dxfId="969" priority="940">
      <formula>$L7="卖出"</formula>
    </cfRule>
  </conditionalFormatting>
  <conditionalFormatting sqref="A8:B8 D8:E8">
    <cfRule type="expression" dxfId="968" priority="939">
      <formula>$L8="卖出"</formula>
    </cfRule>
  </conditionalFormatting>
  <conditionalFormatting sqref="A3">
    <cfRule type="expression" dxfId="967" priority="945">
      <formula>$L3="卖出"</formula>
    </cfRule>
  </conditionalFormatting>
  <conditionalFormatting sqref="B3 D3:Q3">
    <cfRule type="expression" dxfId="966" priority="944">
      <formula>$L3="卖出"</formula>
    </cfRule>
  </conditionalFormatting>
  <conditionalFormatting sqref="R3">
    <cfRule type="expression" dxfId="965" priority="943">
      <formula>$L3="卖出"</formula>
    </cfRule>
  </conditionalFormatting>
  <conditionalFormatting sqref="A5:B6 D5:R6">
    <cfRule type="expression" dxfId="964" priority="942">
      <formula>$L5="卖出"</formula>
    </cfRule>
  </conditionalFormatting>
  <conditionalFormatting sqref="A2 A4:B4 D4:R4">
    <cfRule type="expression" dxfId="963" priority="948">
      <formula>$L2="卖出"</formula>
    </cfRule>
  </conditionalFormatting>
  <conditionalFormatting sqref="B2:Q2">
    <cfRule type="expression" dxfId="962" priority="947">
      <formula>$L2="卖出"</formula>
    </cfRule>
  </conditionalFormatting>
  <conditionalFormatting sqref="R2">
    <cfRule type="expression" dxfId="961" priority="946">
      <formula>$L2="卖出"</formula>
    </cfRule>
  </conditionalFormatting>
  <conditionalFormatting sqref="C8">
    <cfRule type="expression" dxfId="960" priority="937">
      <formula>$L8="卖出"</formula>
    </cfRule>
  </conditionalFormatting>
  <conditionalFormatting sqref="F8">
    <cfRule type="expression" dxfId="959" priority="938">
      <formula>$L8="卖出"</formula>
    </cfRule>
  </conditionalFormatting>
  <conditionalFormatting sqref="A9:E9 A10:B10 D10:E10 G9:R10">
    <cfRule type="expression" dxfId="958" priority="936">
      <formula>$L9="卖出"</formula>
    </cfRule>
  </conditionalFormatting>
  <conditionalFormatting sqref="F9">
    <cfRule type="expression" dxfId="957" priority="935">
      <formula>$L9="卖出"</formula>
    </cfRule>
  </conditionalFormatting>
  <conditionalFormatting sqref="F10">
    <cfRule type="expression" dxfId="956" priority="934">
      <formula>$L10="卖出"</formula>
    </cfRule>
  </conditionalFormatting>
  <conditionalFormatting sqref="A11:B11 G11:Q11 D11:E11">
    <cfRule type="expression" dxfId="955" priority="933">
      <formula>$L11="卖出"</formula>
    </cfRule>
  </conditionalFormatting>
  <conditionalFormatting sqref="F11">
    <cfRule type="expression" dxfId="954" priority="932">
      <formula>$L11="卖出"</formula>
    </cfRule>
  </conditionalFormatting>
  <conditionalFormatting sqref="R11">
    <cfRule type="expression" dxfId="953" priority="931">
      <formula>$L11="卖出"</formula>
    </cfRule>
  </conditionalFormatting>
  <conditionalFormatting sqref="C10:C11">
    <cfRule type="expression" dxfId="952" priority="930">
      <formula>$L10="卖出"</formula>
    </cfRule>
  </conditionalFormatting>
  <conditionalFormatting sqref="R12 L12:M12 G12:J12 A12:B12 D12:E12">
    <cfRule type="expression" dxfId="951" priority="929">
      <formula>$L12="卖出"</formula>
    </cfRule>
  </conditionalFormatting>
  <conditionalFormatting sqref="F12">
    <cfRule type="expression" dxfId="950" priority="928">
      <formula>$L12="卖出"</formula>
    </cfRule>
  </conditionalFormatting>
  <conditionalFormatting sqref="C12">
    <cfRule type="expression" dxfId="949" priority="927">
      <formula>$L12="卖出"</formula>
    </cfRule>
  </conditionalFormatting>
  <conditionalFormatting sqref="G13:R13 A13:B13 D13:E13">
    <cfRule type="expression" dxfId="948" priority="926">
      <formula>$L13="卖出"</formula>
    </cfRule>
  </conditionalFormatting>
  <conditionalFormatting sqref="F13">
    <cfRule type="expression" dxfId="947" priority="925">
      <formula>$L13="卖出"</formula>
    </cfRule>
  </conditionalFormatting>
  <conditionalFormatting sqref="A14:B14 G14:Q14 D14:E14">
    <cfRule type="expression" dxfId="946" priority="924">
      <formula>$L14="卖出"</formula>
    </cfRule>
  </conditionalFormatting>
  <conditionalFormatting sqref="F14">
    <cfRule type="expression" dxfId="945" priority="923">
      <formula>$L14="卖出"</formula>
    </cfRule>
  </conditionalFormatting>
  <conditionalFormatting sqref="R14">
    <cfRule type="expression" dxfId="944" priority="922">
      <formula>$L14="卖出"</formula>
    </cfRule>
  </conditionalFormatting>
  <conditionalFormatting sqref="A15:B16 G15:Q16 D15:E16">
    <cfRule type="expression" dxfId="943" priority="921">
      <formula>$L15="卖出"</formula>
    </cfRule>
  </conditionalFormatting>
  <conditionalFormatting sqref="F15:F16">
    <cfRule type="expression" dxfId="942" priority="920">
      <formula>$L15="卖出"</formula>
    </cfRule>
  </conditionalFormatting>
  <conditionalFormatting sqref="R15:R16">
    <cfRule type="expression" dxfId="941" priority="919">
      <formula>$L15="卖出"</formula>
    </cfRule>
  </conditionalFormatting>
  <conditionalFormatting sqref="A17:B18 G17:Q18 D17:E18">
    <cfRule type="expression" dxfId="940" priority="918">
      <formula>$L17="卖出"</formula>
    </cfRule>
  </conditionalFormatting>
  <conditionalFormatting sqref="F17:F18">
    <cfRule type="expression" dxfId="939" priority="917">
      <formula>$L17="卖出"</formula>
    </cfRule>
  </conditionalFormatting>
  <conditionalFormatting sqref="R17:R18">
    <cfRule type="expression" dxfId="938" priority="916">
      <formula>$L17="卖出"</formula>
    </cfRule>
  </conditionalFormatting>
  <conditionalFormatting sqref="C13:C18">
    <cfRule type="expression" dxfId="937" priority="915">
      <formula>$L13="卖出"</formula>
    </cfRule>
  </conditionalFormatting>
  <conditionalFormatting sqref="L19:M19 G19:J19 A19:B19 D19:E19">
    <cfRule type="expression" dxfId="936" priority="914">
      <formula>$L19="卖出"</formula>
    </cfRule>
  </conditionalFormatting>
  <conditionalFormatting sqref="R19">
    <cfRule type="expression" dxfId="935" priority="913">
      <formula>$L19="卖出"</formula>
    </cfRule>
  </conditionalFormatting>
  <conditionalFormatting sqref="F19">
    <cfRule type="expression" dxfId="934" priority="912">
      <formula>$L19="卖出"</formula>
    </cfRule>
  </conditionalFormatting>
  <conditionalFormatting sqref="C19">
    <cfRule type="expression" dxfId="933" priority="911">
      <formula>$L19="卖出"</formula>
    </cfRule>
  </conditionalFormatting>
  <conditionalFormatting sqref="L20:Q20 A20:B20 D20:E20 G20:J20">
    <cfRule type="expression" dxfId="932" priority="910">
      <formula>$L20="卖出"</formula>
    </cfRule>
  </conditionalFormatting>
  <conditionalFormatting sqref="K20">
    <cfRule type="expression" dxfId="931" priority="909">
      <formula>$L20="卖出"</formula>
    </cfRule>
  </conditionalFormatting>
  <conditionalFormatting sqref="R20">
    <cfRule type="expression" dxfId="930" priority="908">
      <formula>$L20="卖出"</formula>
    </cfRule>
  </conditionalFormatting>
  <conditionalFormatting sqref="A21:B21 L21:Q21 G21:J21 D21:E21">
    <cfRule type="expression" dxfId="929" priority="907">
      <formula>$L21="卖出"</formula>
    </cfRule>
  </conditionalFormatting>
  <conditionalFormatting sqref="R21">
    <cfRule type="expression" dxfId="928" priority="905">
      <formula>$L21="卖出"</formula>
    </cfRule>
  </conditionalFormatting>
  <conditionalFormatting sqref="K21">
    <cfRule type="expression" dxfId="927" priority="906">
      <formula>$L21="卖出"</formula>
    </cfRule>
  </conditionalFormatting>
  <conditionalFormatting sqref="F20:F21">
    <cfRule type="expression" dxfId="926" priority="904">
      <formula>$L20="卖出"</formula>
    </cfRule>
  </conditionalFormatting>
  <conditionalFormatting sqref="A22:B22 L22:Q22 G22:J22 D22:E22">
    <cfRule type="expression" dxfId="925" priority="903">
      <formula>$L22="卖出"</formula>
    </cfRule>
  </conditionalFormatting>
  <conditionalFormatting sqref="R22">
    <cfRule type="expression" dxfId="924" priority="901">
      <formula>$L22="卖出"</formula>
    </cfRule>
  </conditionalFormatting>
  <conditionalFormatting sqref="K22">
    <cfRule type="expression" dxfId="923" priority="902">
      <formula>$L22="卖出"</formula>
    </cfRule>
  </conditionalFormatting>
  <conditionalFormatting sqref="F22">
    <cfRule type="expression" dxfId="922" priority="900">
      <formula>$L22="卖出"</formula>
    </cfRule>
  </conditionalFormatting>
  <conditionalFormatting sqref="C20:C22">
    <cfRule type="expression" dxfId="921" priority="899">
      <formula>$L20="卖出"</formula>
    </cfRule>
  </conditionalFormatting>
  <conditionalFormatting sqref="G23:J23 L23:M23">
    <cfRule type="expression" dxfId="920" priority="898">
      <formula>$L23="卖出"</formula>
    </cfRule>
  </conditionalFormatting>
  <conditionalFormatting sqref="A23:B23 D23:E23">
    <cfRule type="expression" dxfId="919" priority="897">
      <formula>$L23="卖出"</formula>
    </cfRule>
  </conditionalFormatting>
  <conditionalFormatting sqref="K25">
    <cfRule type="expression" dxfId="918" priority="883">
      <formula>$L25="卖出"</formula>
    </cfRule>
  </conditionalFormatting>
  <conditionalFormatting sqref="R28">
    <cfRule type="expression" dxfId="917" priority="880">
      <formula>$L28="卖出"</formula>
    </cfRule>
  </conditionalFormatting>
  <conditionalFormatting sqref="R27">
    <cfRule type="expression" dxfId="916" priority="879">
      <formula>$L27="卖出"</formula>
    </cfRule>
  </conditionalFormatting>
  <conditionalFormatting sqref="F25">
    <cfRule type="expression" dxfId="915" priority="891">
      <formula>$L25="卖出"</formula>
    </cfRule>
  </conditionalFormatting>
  <conditionalFormatting sqref="A26:B26 D26:E26">
    <cfRule type="expression" dxfId="914" priority="890">
      <formula>$L26="卖出"</formula>
    </cfRule>
  </conditionalFormatting>
  <conditionalFormatting sqref="F26">
    <cfRule type="expression" dxfId="913" priority="889">
      <formula>$L26="卖出"</formula>
    </cfRule>
  </conditionalFormatting>
  <conditionalFormatting sqref="F29:F30">
    <cfRule type="expression" dxfId="912" priority="888">
      <formula>$L29="卖出"</formula>
    </cfRule>
  </conditionalFormatting>
  <conditionalFormatting sqref="F27">
    <cfRule type="expression" dxfId="911" priority="887">
      <formula>$L27="卖出"</formula>
    </cfRule>
  </conditionalFormatting>
  <conditionalFormatting sqref="R26">
    <cfRule type="expression" dxfId="910" priority="886">
      <formula>$L26="卖出"</formula>
    </cfRule>
  </conditionalFormatting>
  <conditionalFormatting sqref="A28:B28 D28:E28">
    <cfRule type="expression" dxfId="909" priority="885">
      <formula>$L28="卖出"</formula>
    </cfRule>
  </conditionalFormatting>
  <conditionalFormatting sqref="F28">
    <cfRule type="expression" dxfId="908" priority="884">
      <formula>$L28="卖出"</formula>
    </cfRule>
  </conditionalFormatting>
  <conditionalFormatting sqref="K27">
    <cfRule type="expression" dxfId="907" priority="882">
      <formula>$L27="卖出"</formula>
    </cfRule>
  </conditionalFormatting>
  <conditionalFormatting sqref="K28">
    <cfRule type="expression" dxfId="906" priority="881">
      <formula>$L28="卖出"</formula>
    </cfRule>
  </conditionalFormatting>
  <conditionalFormatting sqref="R25">
    <cfRule type="expression" dxfId="905" priority="878">
      <formula>$L25="卖出"</formula>
    </cfRule>
  </conditionalFormatting>
  <conditionalFormatting sqref="C24:C28">
    <cfRule type="expression" dxfId="904" priority="877">
      <formula>$L24="卖出"</formula>
    </cfRule>
  </conditionalFormatting>
  <conditionalFormatting sqref="A31:C31">
    <cfRule type="expression" dxfId="903" priority="876">
      <formula>$L31="卖出"</formula>
    </cfRule>
  </conditionalFormatting>
  <conditionalFormatting sqref="R31 L31:M31 H31:J31">
    <cfRule type="expression" dxfId="902" priority="875">
      <formula>$L31="卖出"</formula>
    </cfRule>
  </conditionalFormatting>
  <conditionalFormatting sqref="G31 D31:E31">
    <cfRule type="expression" dxfId="901" priority="874">
      <formula>$L31="卖出"</formula>
    </cfRule>
  </conditionalFormatting>
  <conditionalFormatting sqref="F31">
    <cfRule type="expression" dxfId="900" priority="873">
      <formula>$L31="卖出"</formula>
    </cfRule>
  </conditionalFormatting>
  <conditionalFormatting sqref="I32:M34 A32:G34">
    <cfRule type="expression" dxfId="899" priority="872">
      <formula>$L32="卖出"</formula>
    </cfRule>
  </conditionalFormatting>
  <conditionalFormatting sqref="R32">
    <cfRule type="expression" dxfId="898" priority="871">
      <formula>$L32="卖出"</formula>
    </cfRule>
  </conditionalFormatting>
  <conditionalFormatting sqref="R34">
    <cfRule type="expression" dxfId="897" priority="870">
      <formula>$L34="卖出"</formula>
    </cfRule>
  </conditionalFormatting>
  <conditionalFormatting sqref="R33">
    <cfRule type="expression" dxfId="896" priority="869">
      <formula>$L33="卖出"</formula>
    </cfRule>
  </conditionalFormatting>
  <conditionalFormatting sqref="L35:M35 R35 A35:I35">
    <cfRule type="expression" dxfId="895" priority="868">
      <formula>$L35="卖出"</formula>
    </cfRule>
  </conditionalFormatting>
  <conditionalFormatting sqref="J35">
    <cfRule type="expression" dxfId="894" priority="867">
      <formula>$L35="卖出"</formula>
    </cfRule>
  </conditionalFormatting>
  <conditionalFormatting sqref="L36:M37 R36:R37 A36:I37">
    <cfRule type="expression" dxfId="893" priority="866">
      <formula>$L36="卖出"</formula>
    </cfRule>
  </conditionalFormatting>
  <conditionalFormatting sqref="J36:J37">
    <cfRule type="expression" dxfId="892" priority="865">
      <formula>$L36="卖出"</formula>
    </cfRule>
  </conditionalFormatting>
  <conditionalFormatting sqref="G38:J38 A38:B38 D38:E38 L38:M38">
    <cfRule type="expression" dxfId="891" priority="864">
      <formula>$L38="卖出"</formula>
    </cfRule>
  </conditionalFormatting>
  <conditionalFormatting sqref="R38">
    <cfRule type="expression" dxfId="890" priority="863">
      <formula>$L38="卖出"</formula>
    </cfRule>
  </conditionalFormatting>
  <conditionalFormatting sqref="F38">
    <cfRule type="expression" dxfId="889" priority="862">
      <formula>$L38="卖出"</formula>
    </cfRule>
  </conditionalFormatting>
  <conditionalFormatting sqref="C38">
    <cfRule type="expression" dxfId="888" priority="861">
      <formula>$L38="卖出"</formula>
    </cfRule>
  </conditionalFormatting>
  <conditionalFormatting sqref="A39:B39 D39:E39 L39:M39 G39:J39">
    <cfRule type="expression" dxfId="887" priority="859">
      <formula>$L39="卖出"</formula>
    </cfRule>
  </conditionalFormatting>
  <conditionalFormatting sqref="D40:E40">
    <cfRule type="expression" dxfId="886" priority="858">
      <formula>$L236="卖出"</formula>
    </cfRule>
  </conditionalFormatting>
  <conditionalFormatting sqref="F39">
    <cfRule type="expression" dxfId="885" priority="857">
      <formula>$L39="卖出"</formula>
    </cfRule>
  </conditionalFormatting>
  <conditionalFormatting sqref="A40:B40 L40:M40 G40:I40 D40:E40">
    <cfRule type="expression" dxfId="884" priority="856">
      <formula>$L40="卖出"</formula>
    </cfRule>
  </conditionalFormatting>
  <conditionalFormatting sqref="A40">
    <cfRule type="expression" dxfId="883" priority="854">
      <formula>$L236="卖出"</formula>
    </cfRule>
  </conditionalFormatting>
  <conditionalFormatting sqref="B40">
    <cfRule type="expression" dxfId="882" priority="855">
      <formula>$L236="卖出"</formula>
    </cfRule>
  </conditionalFormatting>
  <conditionalFormatting sqref="G40">
    <cfRule type="expression" dxfId="881" priority="853">
      <formula>$L236="卖出"</formula>
    </cfRule>
  </conditionalFormatting>
  <conditionalFormatting sqref="F40">
    <cfRule type="expression" dxfId="880" priority="852">
      <formula>$L40="卖出"</formula>
    </cfRule>
  </conditionalFormatting>
  <conditionalFormatting sqref="C40">
    <cfRule type="expression" dxfId="879" priority="851">
      <formula>$L40="卖出"</formula>
    </cfRule>
  </conditionalFormatting>
  <conditionalFormatting sqref="C39">
    <cfRule type="expression" dxfId="878" priority="850">
      <formula>$L39="卖出"</formula>
    </cfRule>
  </conditionalFormatting>
  <conditionalFormatting sqref="D39:E39 A39:B39 G39">
    <cfRule type="expression" dxfId="877" priority="860">
      <formula>$L227="卖出"</formula>
    </cfRule>
  </conditionalFormatting>
  <conditionalFormatting sqref="J40">
    <cfRule type="expression" dxfId="876" priority="849">
      <formula>$L40="卖出"</formula>
    </cfRule>
  </conditionalFormatting>
  <conditionalFormatting sqref="E42 H42 R41 A42 J41:J42 L41:M42 G41:I41 A41:B41 D41:E41">
    <cfRule type="expression" dxfId="875" priority="848">
      <formula>$L41="卖出"</formula>
    </cfRule>
  </conditionalFormatting>
  <conditionalFormatting sqref="B42">
    <cfRule type="expression" dxfId="874" priority="847">
      <formula>$L42="卖出"</formula>
    </cfRule>
  </conditionalFormatting>
  <conditionalFormatting sqref="D42">
    <cfRule type="expression" dxfId="873" priority="846">
      <formula>$L42="卖出"</formula>
    </cfRule>
  </conditionalFormatting>
  <conditionalFormatting sqref="I42">
    <cfRule type="expression" dxfId="872" priority="845">
      <formula>$L42="卖出"</formula>
    </cfRule>
  </conditionalFormatting>
  <conditionalFormatting sqref="G42">
    <cfRule type="expression" dxfId="871" priority="844">
      <formula>$L42="卖出"</formula>
    </cfRule>
  </conditionalFormatting>
  <conditionalFormatting sqref="R42">
    <cfRule type="expression" dxfId="870" priority="843">
      <formula>$L42="卖出"</formula>
    </cfRule>
  </conditionalFormatting>
  <conditionalFormatting sqref="F41">
    <cfRule type="expression" dxfId="869" priority="842">
      <formula>$L41="卖出"</formula>
    </cfRule>
  </conditionalFormatting>
  <conditionalFormatting sqref="F42">
    <cfRule type="expression" dxfId="868" priority="841">
      <formula>$L42="卖出"</formula>
    </cfRule>
  </conditionalFormatting>
  <conditionalFormatting sqref="C41:C42">
    <cfRule type="expression" dxfId="867" priority="840">
      <formula>$L41="卖出"</formula>
    </cfRule>
  </conditionalFormatting>
  <conditionalFormatting sqref="E43:E44 H43 A43:A44 L43:M44 J43:J44">
    <cfRule type="expression" dxfId="866" priority="839">
      <formula>$L43="卖出"</formula>
    </cfRule>
  </conditionalFormatting>
  <conditionalFormatting sqref="I43">
    <cfRule type="expression" dxfId="865" priority="838">
      <formula>$L43="卖出"</formula>
    </cfRule>
  </conditionalFormatting>
  <conditionalFormatting sqref="D44">
    <cfRule type="expression" dxfId="864" priority="836">
      <formula>$L44="卖出"</formula>
    </cfRule>
  </conditionalFormatting>
  <conditionalFormatting sqref="B43">
    <cfRule type="expression" dxfId="863" priority="831">
      <formula>$L43="卖出"</formula>
    </cfRule>
  </conditionalFormatting>
  <conditionalFormatting sqref="D43">
    <cfRule type="expression" dxfId="862" priority="830">
      <formula>$L43="卖出"</formula>
    </cfRule>
  </conditionalFormatting>
  <conditionalFormatting sqref="G43">
    <cfRule type="expression" dxfId="861" priority="829">
      <formula>$L43="卖出"</formula>
    </cfRule>
  </conditionalFormatting>
  <conditionalFormatting sqref="R43">
    <cfRule type="expression" dxfId="860" priority="828">
      <formula>$L43="卖出"</formula>
    </cfRule>
  </conditionalFormatting>
  <conditionalFormatting sqref="E45 A45 J45 L45:M45">
    <cfRule type="expression" dxfId="859" priority="825">
      <formula>$L45="卖出"</formula>
    </cfRule>
  </conditionalFormatting>
  <conditionalFormatting sqref="B45">
    <cfRule type="expression" dxfId="858" priority="824">
      <formula>$L45="卖出"</formula>
    </cfRule>
  </conditionalFormatting>
  <conditionalFormatting sqref="D45">
    <cfRule type="expression" dxfId="857" priority="823">
      <formula>$L45="卖出"</formula>
    </cfRule>
  </conditionalFormatting>
  <conditionalFormatting sqref="G45">
    <cfRule type="expression" dxfId="856" priority="822">
      <formula>$L45="卖出"</formula>
    </cfRule>
  </conditionalFormatting>
  <conditionalFormatting sqref="I45">
    <cfRule type="expression" dxfId="855" priority="821">
      <formula>$L45="卖出"</formula>
    </cfRule>
  </conditionalFormatting>
  <conditionalFormatting sqref="H45">
    <cfRule type="expression" dxfId="854" priority="820">
      <formula>$L45="卖出"</formula>
    </cfRule>
  </conditionalFormatting>
  <conditionalFormatting sqref="F45">
    <cfRule type="expression" dxfId="853" priority="819">
      <formula>$L45="卖出"</formula>
    </cfRule>
  </conditionalFormatting>
  <conditionalFormatting sqref="B44">
    <cfRule type="expression" dxfId="852" priority="837">
      <formula>$L44="卖出"</formula>
    </cfRule>
  </conditionalFormatting>
  <conditionalFormatting sqref="R44">
    <cfRule type="expression" dxfId="851" priority="835">
      <formula>$L44="卖出"</formula>
    </cfRule>
  </conditionalFormatting>
  <conditionalFormatting sqref="G44">
    <cfRule type="expression" dxfId="850" priority="834">
      <formula>$L44="卖出"</formula>
    </cfRule>
  </conditionalFormatting>
  <conditionalFormatting sqref="I44">
    <cfRule type="expression" dxfId="849" priority="833">
      <formula>$L44="卖出"</formula>
    </cfRule>
  </conditionalFormatting>
  <conditionalFormatting sqref="H44">
    <cfRule type="expression" dxfId="848" priority="832">
      <formula>$L44="卖出"</formula>
    </cfRule>
  </conditionalFormatting>
  <conditionalFormatting sqref="F43">
    <cfRule type="expression" dxfId="847" priority="827">
      <formula>$L43="卖出"</formula>
    </cfRule>
  </conditionalFormatting>
  <conditionalFormatting sqref="F44">
    <cfRule type="expression" dxfId="846" priority="826">
      <formula>$L44="卖出"</formula>
    </cfRule>
  </conditionalFormatting>
  <conditionalFormatting sqref="R45">
    <cfRule type="expression" dxfId="845" priority="818">
      <formula>$L45="卖出"</formula>
    </cfRule>
  </conditionalFormatting>
  <conditionalFormatting sqref="C43:C45">
    <cfRule type="expression" dxfId="844" priority="817">
      <formula>$L43="卖出"</formula>
    </cfRule>
  </conditionalFormatting>
  <conditionalFormatting sqref="R46 L46:M46 G46:J46 A46:E46">
    <cfRule type="expression" dxfId="843" priority="816">
      <formula>$L46="卖出"</formula>
    </cfRule>
  </conditionalFormatting>
  <conditionalFormatting sqref="F46">
    <cfRule type="expression" dxfId="842" priority="815">
      <formula>$L46="卖出"</formula>
    </cfRule>
  </conditionalFormatting>
  <conditionalFormatting sqref="H47 J47 L47:M47 A47:E47">
    <cfRule type="expression" dxfId="841" priority="814">
      <formula>$L47="卖出"</formula>
    </cfRule>
  </conditionalFormatting>
  <conditionalFormatting sqref="I47">
    <cfRule type="expression" dxfId="840" priority="813">
      <formula>$L47="卖出"</formula>
    </cfRule>
  </conditionalFormatting>
  <conditionalFormatting sqref="G47">
    <cfRule type="expression" dxfId="839" priority="812">
      <formula>$L47="卖出"</formula>
    </cfRule>
  </conditionalFormatting>
  <conditionalFormatting sqref="R47">
    <cfRule type="expression" dxfId="838" priority="811">
      <formula>$L47="卖出"</formula>
    </cfRule>
  </conditionalFormatting>
  <conditionalFormatting sqref="F47">
    <cfRule type="expression" dxfId="837" priority="810">
      <formula>$L47="卖出"</formula>
    </cfRule>
  </conditionalFormatting>
  <conditionalFormatting sqref="H56 A56:B56 J56 L56:M56 R56 D56:E56">
    <cfRule type="expression" dxfId="836" priority="803">
      <formula>$L56="卖出"</formula>
    </cfRule>
  </conditionalFormatting>
  <conditionalFormatting sqref="G56">
    <cfRule type="expression" dxfId="835" priority="802">
      <formula>$L56="卖出"</formula>
    </cfRule>
  </conditionalFormatting>
  <conditionalFormatting sqref="I56">
    <cfRule type="expression" dxfId="834" priority="801">
      <formula>$L56="卖出"</formula>
    </cfRule>
  </conditionalFormatting>
  <conditionalFormatting sqref="R56">
    <cfRule type="expression" dxfId="833" priority="800">
      <formula>$L56="卖出"</formula>
    </cfRule>
  </conditionalFormatting>
  <conditionalFormatting sqref="G58">
    <cfRule type="expression" dxfId="832" priority="797">
      <formula>$L58="卖出"</formula>
    </cfRule>
  </conditionalFormatting>
  <conditionalFormatting sqref="I58">
    <cfRule type="expression" dxfId="831" priority="796">
      <formula>$L58="卖出"</formula>
    </cfRule>
  </conditionalFormatting>
  <conditionalFormatting sqref="R58">
    <cfRule type="expression" dxfId="830" priority="795">
      <formula>$L58="卖出"</formula>
    </cfRule>
  </conditionalFormatting>
  <conditionalFormatting sqref="F58">
    <cfRule type="expression" dxfId="829" priority="794">
      <formula>$L58="卖出"</formula>
    </cfRule>
  </conditionalFormatting>
  <conditionalFormatting sqref="H57 A57:B57 L57:M57 R57 J57 D57:E57">
    <cfRule type="expression" dxfId="828" priority="793">
      <formula>$L57="卖出"</formula>
    </cfRule>
  </conditionalFormatting>
  <conditionalFormatting sqref="I57">
    <cfRule type="expression" dxfId="827" priority="791">
      <formula>$L57="卖出"</formula>
    </cfRule>
  </conditionalFormatting>
  <conditionalFormatting sqref="G57">
    <cfRule type="expression" dxfId="826" priority="792">
      <formula>$L57="卖出"</formula>
    </cfRule>
  </conditionalFormatting>
  <conditionalFormatting sqref="R57">
    <cfRule type="expression" dxfId="825" priority="790">
      <formula>$L57="卖出"</formula>
    </cfRule>
  </conditionalFormatting>
  <conditionalFormatting sqref="F57">
    <cfRule type="expression" dxfId="824" priority="789">
      <formula>$L57="卖出"</formula>
    </cfRule>
  </conditionalFormatting>
  <conditionalFormatting sqref="F56">
    <cfRule type="expression" dxfId="823" priority="799">
      <formula>$L56="卖出"</formula>
    </cfRule>
  </conditionalFormatting>
  <conditionalFormatting sqref="H58 A58:B58 L58:M58 R58 J58 D58:E58">
    <cfRule type="expression" dxfId="822" priority="798">
      <formula>$L58="卖出"</formula>
    </cfRule>
  </conditionalFormatting>
  <conditionalFormatting sqref="C56:C58">
    <cfRule type="expression" dxfId="821" priority="788">
      <formula>$L56="卖出"</formula>
    </cfRule>
  </conditionalFormatting>
  <conditionalFormatting sqref="A59 J59 L59 R59">
    <cfRule type="expression" dxfId="820" priority="787">
      <formula>$L59="卖出"</formula>
    </cfRule>
  </conditionalFormatting>
  <conditionalFormatting sqref="B59">
    <cfRule type="expression" dxfId="819" priority="786">
      <formula>$L59="卖出"</formula>
    </cfRule>
  </conditionalFormatting>
  <conditionalFormatting sqref="G59">
    <cfRule type="expression" dxfId="818" priority="784">
      <formula>$L59="卖出"</formula>
    </cfRule>
  </conditionalFormatting>
  <conditionalFormatting sqref="I59">
    <cfRule type="expression" dxfId="817" priority="783">
      <formula>$L59="卖出"</formula>
    </cfRule>
  </conditionalFormatting>
  <conditionalFormatting sqref="M59">
    <cfRule type="expression" dxfId="816" priority="782">
      <formula>$L59="卖出"</formula>
    </cfRule>
  </conditionalFormatting>
  <conditionalFormatting sqref="R59">
    <cfRule type="expression" dxfId="815" priority="781">
      <formula>$L59="卖出"</formula>
    </cfRule>
  </conditionalFormatting>
  <conditionalFormatting sqref="C59">
    <cfRule type="expression" dxfId="814" priority="778">
      <formula>$L59="卖出"</formula>
    </cfRule>
  </conditionalFormatting>
  <conditionalFormatting sqref="D59">
    <cfRule type="expression" dxfId="813" priority="785">
      <formula>$L59="卖出"</formula>
    </cfRule>
  </conditionalFormatting>
  <conditionalFormatting sqref="E59">
    <cfRule type="expression" dxfId="812" priority="780">
      <formula>$L59="卖出"</formula>
    </cfRule>
  </conditionalFormatting>
  <conditionalFormatting sqref="F59">
    <cfRule type="expression" dxfId="811" priority="779">
      <formula>$L59="卖出"</formula>
    </cfRule>
  </conditionalFormatting>
  <conditionalFormatting sqref="A60 R60 L60 J60">
    <cfRule type="expression" dxfId="810" priority="777">
      <formula>$L60="卖出"</formula>
    </cfRule>
  </conditionalFormatting>
  <conditionalFormatting sqref="B60">
    <cfRule type="expression" dxfId="809" priority="776">
      <formula>$L60="卖出"</formula>
    </cfRule>
  </conditionalFormatting>
  <conditionalFormatting sqref="D60">
    <cfRule type="expression" dxfId="808" priority="775">
      <formula>$L60="卖出"</formula>
    </cfRule>
  </conditionalFormatting>
  <conditionalFormatting sqref="M60">
    <cfRule type="expression" dxfId="807" priority="772">
      <formula>$L60="卖出"</formula>
    </cfRule>
  </conditionalFormatting>
  <conditionalFormatting sqref="I60">
    <cfRule type="expression" dxfId="806" priority="773">
      <formula>$L60="卖出"</formula>
    </cfRule>
  </conditionalFormatting>
  <conditionalFormatting sqref="R60">
    <cfRule type="expression" dxfId="805" priority="771">
      <formula>$L60="卖出"</formula>
    </cfRule>
  </conditionalFormatting>
  <conditionalFormatting sqref="F60">
    <cfRule type="expression" dxfId="804" priority="769">
      <formula>$L60="卖出"</formula>
    </cfRule>
  </conditionalFormatting>
  <conditionalFormatting sqref="C60">
    <cfRule type="expression" dxfId="803" priority="768">
      <formula>$L60="卖出"</formula>
    </cfRule>
  </conditionalFormatting>
  <conditionalFormatting sqref="G60">
    <cfRule type="expression" dxfId="802" priority="774">
      <formula>$L60="卖出"</formula>
    </cfRule>
  </conditionalFormatting>
  <conditionalFormatting sqref="E60">
    <cfRule type="expression" dxfId="801" priority="770">
      <formula>$L60="卖出"</formula>
    </cfRule>
  </conditionalFormatting>
  <conditionalFormatting sqref="A61 L61:M61 J61 R61">
    <cfRule type="expression" dxfId="800" priority="767">
      <formula>$L61="卖出"</formula>
    </cfRule>
  </conditionalFormatting>
  <conditionalFormatting sqref="D61">
    <cfRule type="expression" dxfId="799" priority="765">
      <formula>$L61="卖出"</formula>
    </cfRule>
  </conditionalFormatting>
  <conditionalFormatting sqref="E61">
    <cfRule type="expression" dxfId="798" priority="764">
      <formula>$L61="卖出"</formula>
    </cfRule>
  </conditionalFormatting>
  <conditionalFormatting sqref="G61">
    <cfRule type="expression" dxfId="797" priority="763">
      <formula>$L61="卖出"</formula>
    </cfRule>
  </conditionalFormatting>
  <conditionalFormatting sqref="I61">
    <cfRule type="expression" dxfId="796" priority="762">
      <formula>$L61="卖出"</formula>
    </cfRule>
  </conditionalFormatting>
  <conditionalFormatting sqref="B61:C61">
    <cfRule type="expression" dxfId="795" priority="766">
      <formula>$L61="卖出"</formula>
    </cfRule>
  </conditionalFormatting>
  <conditionalFormatting sqref="F61">
    <cfRule type="expression" dxfId="794" priority="761">
      <formula>$L61="卖出"</formula>
    </cfRule>
  </conditionalFormatting>
  <conditionalFormatting sqref="I62 I67:I81 R62:R81 L63:L81 F67:G81 L62:M62 D64:D81 A62:B81 D62:E63">
    <cfRule type="expression" dxfId="793" priority="760">
      <formula>$L62="卖出"</formula>
    </cfRule>
  </conditionalFormatting>
  <conditionalFormatting sqref="G66">
    <cfRule type="expression" dxfId="792" priority="746">
      <formula>$L66="卖出"</formula>
    </cfRule>
  </conditionalFormatting>
  <conditionalFormatting sqref="A82:B82 R82 L82 I82 F82:G82 D82">
    <cfRule type="expression" dxfId="791" priority="745">
      <formula>$L82="卖出"</formula>
    </cfRule>
  </conditionalFormatting>
  <conditionalFormatting sqref="A84:B84 R84 L84:M84 I84 D84:E84">
    <cfRule type="expression" dxfId="790" priority="738">
      <formula>$L84="卖出"</formula>
    </cfRule>
  </conditionalFormatting>
  <conditionalFormatting sqref="F84">
    <cfRule type="expression" dxfId="789" priority="737">
      <formula>$L84="卖出"</formula>
    </cfRule>
  </conditionalFormatting>
  <conditionalFormatting sqref="G84">
    <cfRule type="expression" dxfId="788" priority="736">
      <formula>$L84="卖出"</formula>
    </cfRule>
  </conditionalFormatting>
  <conditionalFormatting sqref="F62">
    <cfRule type="expression" dxfId="787" priority="759">
      <formula>$L62="卖出"</formula>
    </cfRule>
  </conditionalFormatting>
  <conditionalFormatting sqref="G62">
    <cfRule type="expression" dxfId="786" priority="758">
      <formula>$L62="卖出"</formula>
    </cfRule>
  </conditionalFormatting>
  <conditionalFormatting sqref="I63">
    <cfRule type="expression" dxfId="785" priority="757">
      <formula>$L63="卖出"</formula>
    </cfRule>
  </conditionalFormatting>
  <conditionalFormatting sqref="F63">
    <cfRule type="expression" dxfId="784" priority="756">
      <formula>$L63="卖出"</formula>
    </cfRule>
  </conditionalFormatting>
  <conditionalFormatting sqref="G63">
    <cfRule type="expression" dxfId="783" priority="755">
      <formula>$L63="卖出"</formula>
    </cfRule>
  </conditionalFormatting>
  <conditionalFormatting sqref="I64">
    <cfRule type="expression" dxfId="782" priority="754">
      <formula>$L64="卖出"</formula>
    </cfRule>
  </conditionalFormatting>
  <conditionalFormatting sqref="F64">
    <cfRule type="expression" dxfId="781" priority="753">
      <formula>$L64="卖出"</formula>
    </cfRule>
  </conditionalFormatting>
  <conditionalFormatting sqref="G64">
    <cfRule type="expression" dxfId="780" priority="752">
      <formula>$L64="卖出"</formula>
    </cfRule>
  </conditionalFormatting>
  <conditionalFormatting sqref="I65">
    <cfRule type="expression" dxfId="779" priority="751">
      <formula>$L65="卖出"</formula>
    </cfRule>
  </conditionalFormatting>
  <conditionalFormatting sqref="F65">
    <cfRule type="expression" dxfId="778" priority="750">
      <formula>$L65="卖出"</formula>
    </cfRule>
  </conditionalFormatting>
  <conditionalFormatting sqref="G65">
    <cfRule type="expression" dxfId="777" priority="749">
      <formula>$L65="卖出"</formula>
    </cfRule>
  </conditionalFormatting>
  <conditionalFormatting sqref="I66">
    <cfRule type="expression" dxfId="776" priority="748">
      <formula>$L66="卖出"</formula>
    </cfRule>
  </conditionalFormatting>
  <conditionalFormatting sqref="F66">
    <cfRule type="expression" dxfId="775" priority="747">
      <formula>$L66="卖出"</formula>
    </cfRule>
  </conditionalFormatting>
  <conditionalFormatting sqref="E64:E82">
    <cfRule type="expression" dxfId="774" priority="744">
      <formula>$L64="卖出"</formula>
    </cfRule>
  </conditionalFormatting>
  <conditionalFormatting sqref="A83:B83 R83 L83:M83 I83 D83:E83">
    <cfRule type="expression" dxfId="773" priority="743">
      <formula>$L83="卖出"</formula>
    </cfRule>
  </conditionalFormatting>
  <conditionalFormatting sqref="F83">
    <cfRule type="expression" dxfId="772" priority="742">
      <formula>$L83="卖出"</formula>
    </cfRule>
  </conditionalFormatting>
  <conditionalFormatting sqref="G83">
    <cfRule type="expression" dxfId="771" priority="741">
      <formula>$L83="卖出"</formula>
    </cfRule>
  </conditionalFormatting>
  <conditionalFormatting sqref="J62:J83">
    <cfRule type="expression" dxfId="770" priority="740">
      <formula>$L62="卖出"</formula>
    </cfRule>
  </conditionalFormatting>
  <conditionalFormatting sqref="C62:C83">
    <cfRule type="expression" dxfId="769" priority="739">
      <formula>$L62="卖出"</formula>
    </cfRule>
  </conditionalFormatting>
  <conditionalFormatting sqref="J84">
    <cfRule type="expression" dxfId="768" priority="735">
      <formula>$L84="卖出"</formula>
    </cfRule>
  </conditionalFormatting>
  <conditionalFormatting sqref="C84">
    <cfRule type="expression" dxfId="767" priority="734">
      <formula>$L84="卖出"</formula>
    </cfRule>
  </conditionalFormatting>
  <conditionalFormatting sqref="A86:B94 R97:R98 R86:R93 I86:I94 I97:I98 A97:B97 D97:F97 D86:F94">
    <cfRule type="expression" dxfId="766" priority="730">
      <formula>$L86="卖出"</formula>
    </cfRule>
  </conditionalFormatting>
  <conditionalFormatting sqref="A98:B98 D98:F98">
    <cfRule type="expression" dxfId="765" priority="727">
      <formula>$L98="卖出"</formula>
    </cfRule>
  </conditionalFormatting>
  <conditionalFormatting sqref="G98">
    <cfRule type="expression" dxfId="764" priority="726">
      <formula>$L98="卖出"</formula>
    </cfRule>
  </conditionalFormatting>
  <conditionalFormatting sqref="G88:G94">
    <cfRule type="expression" dxfId="763" priority="722">
      <formula>$L88="卖出"</formula>
    </cfRule>
  </conditionalFormatting>
  <conditionalFormatting sqref="G99">
    <cfRule type="expression" dxfId="762" priority="718">
      <formula>$L99="卖出"</formula>
    </cfRule>
  </conditionalFormatting>
  <conditionalFormatting sqref="G86">
    <cfRule type="expression" dxfId="761" priority="729">
      <formula>$L86="卖出"</formula>
    </cfRule>
  </conditionalFormatting>
  <conditionalFormatting sqref="G97">
    <cfRule type="expression" dxfId="760" priority="728">
      <formula>$L97="卖出"</formula>
    </cfRule>
  </conditionalFormatting>
  <conditionalFormatting sqref="G87">
    <cfRule type="expression" dxfId="759" priority="724">
      <formula>$L87="卖出"</formula>
    </cfRule>
  </conditionalFormatting>
  <conditionalFormatting sqref="R94">
    <cfRule type="expression" dxfId="758" priority="721">
      <formula>$L94="卖出"</formula>
    </cfRule>
  </conditionalFormatting>
  <conditionalFormatting sqref="A99:B99 D99:F99">
    <cfRule type="expression" dxfId="757" priority="719">
      <formula>$L99="卖出"</formula>
    </cfRule>
  </conditionalFormatting>
  <conditionalFormatting sqref="R99 I99">
    <cfRule type="expression" dxfId="756" priority="720">
      <formula>$L99="卖出"</formula>
    </cfRule>
  </conditionalFormatting>
  <conditionalFormatting sqref="J86:J94 J97:J99">
    <cfRule type="expression" dxfId="755" priority="717">
      <formula>$L86="卖出"</formula>
    </cfRule>
  </conditionalFormatting>
  <conditionalFormatting sqref="R100 I100">
    <cfRule type="expression" dxfId="754" priority="716">
      <formula>$L100="卖出"</formula>
    </cfRule>
  </conditionalFormatting>
  <conditionalFormatting sqref="G100">
    <cfRule type="expression" dxfId="753" priority="714">
      <formula>$L100="卖出"</formula>
    </cfRule>
  </conditionalFormatting>
  <conditionalFormatting sqref="A100:B100 D100:F100">
    <cfRule type="expression" dxfId="752" priority="715">
      <formula>$L100="卖出"</formula>
    </cfRule>
  </conditionalFormatting>
  <conditionalFormatting sqref="J100">
    <cfRule type="expression" dxfId="751" priority="713">
      <formula>$L100="卖出"</formula>
    </cfRule>
  </conditionalFormatting>
  <conditionalFormatting sqref="A95:B95 I95 D95:F95">
    <cfRule type="expression" dxfId="750" priority="712">
      <formula>$L95="卖出"</formula>
    </cfRule>
  </conditionalFormatting>
  <conditionalFormatting sqref="G95">
    <cfRule type="expression" dxfId="749" priority="710">
      <formula>$L95="卖出"</formula>
    </cfRule>
  </conditionalFormatting>
  <conditionalFormatting sqref="R95">
    <cfRule type="expression" dxfId="748" priority="709">
      <formula>$L95="卖出"</formula>
    </cfRule>
  </conditionalFormatting>
  <conditionalFormatting sqref="J95">
    <cfRule type="expression" dxfId="747" priority="708">
      <formula>$L95="卖出"</formula>
    </cfRule>
  </conditionalFormatting>
  <conditionalFormatting sqref="C97:C100">
    <cfRule type="expression" dxfId="746" priority="707">
      <formula>$L97="卖出"</formula>
    </cfRule>
  </conditionalFormatting>
  <conditionalFormatting sqref="C86:C95">
    <cfRule type="expression" dxfId="745" priority="706">
      <formula>$L86="卖出"</formula>
    </cfRule>
  </conditionalFormatting>
  <conditionalFormatting sqref="A85:B85 L85:M85 R85 I85 D85:F85">
    <cfRule type="expression" dxfId="744" priority="705">
      <formula>$L85="卖出"</formula>
    </cfRule>
  </conditionalFormatting>
  <conditionalFormatting sqref="G85">
    <cfRule type="expression" dxfId="743" priority="704">
      <formula>$L85="卖出"</formula>
    </cfRule>
  </conditionalFormatting>
  <conditionalFormatting sqref="J85">
    <cfRule type="expression" dxfId="742" priority="703">
      <formula>$L85="卖出"</formula>
    </cfRule>
  </conditionalFormatting>
  <conditionalFormatting sqref="C85">
    <cfRule type="expression" dxfId="741" priority="702">
      <formula>$L85="卖出"</formula>
    </cfRule>
  </conditionalFormatting>
  <conditionalFormatting sqref="L96:M96 R96 I96 A96:B96 D96:F96">
    <cfRule type="expression" dxfId="740" priority="701">
      <formula>$L96="卖出"</formula>
    </cfRule>
  </conditionalFormatting>
  <conditionalFormatting sqref="G96">
    <cfRule type="expression" dxfId="739" priority="700">
      <formula>$L96="卖出"</formula>
    </cfRule>
  </conditionalFormatting>
  <conditionalFormatting sqref="J96">
    <cfRule type="expression" dxfId="738" priority="699">
      <formula>$L96="卖出"</formula>
    </cfRule>
  </conditionalFormatting>
  <conditionalFormatting sqref="C96">
    <cfRule type="expression" dxfId="737" priority="698">
      <formula>$L96="卖出"</formula>
    </cfRule>
  </conditionalFormatting>
  <conditionalFormatting sqref="G102 R102 I102:M102 A102:B102 D102:E102">
    <cfRule type="expression" dxfId="736" priority="697">
      <formula>$L102="卖出"</formula>
    </cfRule>
  </conditionalFormatting>
  <conditionalFormatting sqref="F102">
    <cfRule type="expression" dxfId="735" priority="695">
      <formula>$L102="卖出"</formula>
    </cfRule>
  </conditionalFormatting>
  <conditionalFormatting sqref="C102">
    <cfRule type="expression" dxfId="734" priority="696">
      <formula>$L102="卖出"</formula>
    </cfRule>
  </conditionalFormatting>
  <conditionalFormatting sqref="G101 R101 I101:M101 A101:B101 D101:E101">
    <cfRule type="expression" dxfId="733" priority="694">
      <formula>$L101="卖出"</formula>
    </cfRule>
  </conditionalFormatting>
  <conditionalFormatting sqref="F101">
    <cfRule type="expression" dxfId="732" priority="692">
      <formula>$L101="卖出"</formula>
    </cfRule>
  </conditionalFormatting>
  <conditionalFormatting sqref="C101">
    <cfRule type="expression" dxfId="731" priority="693">
      <formula>$L101="卖出"</formula>
    </cfRule>
  </conditionalFormatting>
  <conditionalFormatting sqref="L103:M103 R103 A103:B103 D103:F103 J103">
    <cfRule type="expression" dxfId="730" priority="691">
      <formula>$L103="卖出"</formula>
    </cfRule>
  </conditionalFormatting>
  <conditionalFormatting sqref="C103">
    <cfRule type="expression" dxfId="729" priority="688">
      <formula>$L103="卖出"</formula>
    </cfRule>
  </conditionalFormatting>
  <conditionalFormatting sqref="G103">
    <cfRule type="expression" dxfId="728" priority="690">
      <formula>$L103="卖出"</formula>
    </cfRule>
  </conditionalFormatting>
  <conditionalFormatting sqref="I103">
    <cfRule type="expression" dxfId="727" priority="689">
      <formula>$L103="卖出"</formula>
    </cfRule>
  </conditionalFormatting>
  <conditionalFormatting sqref="A104 E104:E105 J104:J105 L104:L105">
    <cfRule type="expression" dxfId="726" priority="687">
      <formula>$L104="卖出"</formula>
    </cfRule>
  </conditionalFormatting>
  <conditionalFormatting sqref="B104:D104">
    <cfRule type="expression" dxfId="725" priority="686">
      <formula>$L104="卖出"</formula>
    </cfRule>
  </conditionalFormatting>
  <conditionalFormatting sqref="M104">
    <cfRule type="expression" dxfId="724" priority="685">
      <formula>$L104="卖出"</formula>
    </cfRule>
  </conditionalFormatting>
  <conditionalFormatting sqref="G104">
    <cfRule type="expression" dxfId="723" priority="684">
      <formula>$L104="卖出"</formula>
    </cfRule>
  </conditionalFormatting>
  <conditionalFormatting sqref="I104">
    <cfRule type="expression" dxfId="722" priority="683">
      <formula>$L104="卖出"</formula>
    </cfRule>
  </conditionalFormatting>
  <conditionalFormatting sqref="R104">
    <cfRule type="expression" dxfId="721" priority="682">
      <formula>$L104="卖出"</formula>
    </cfRule>
  </conditionalFormatting>
  <conditionalFormatting sqref="A105">
    <cfRule type="expression" dxfId="720" priority="681">
      <formula>$L105="卖出"</formula>
    </cfRule>
  </conditionalFormatting>
  <conditionalFormatting sqref="B105:D105">
    <cfRule type="expression" dxfId="719" priority="680">
      <formula>$L105="卖出"</formula>
    </cfRule>
  </conditionalFormatting>
  <conditionalFormatting sqref="M105">
    <cfRule type="expression" dxfId="718" priority="679">
      <formula>$L105="卖出"</formula>
    </cfRule>
  </conditionalFormatting>
  <conditionalFormatting sqref="G105">
    <cfRule type="expression" dxfId="717" priority="678">
      <formula>$L105="卖出"</formula>
    </cfRule>
  </conditionalFormatting>
  <conditionalFormatting sqref="I105">
    <cfRule type="expression" dxfId="716" priority="677">
      <formula>$L105="卖出"</formula>
    </cfRule>
  </conditionalFormatting>
  <conditionalFormatting sqref="F104:F105">
    <cfRule type="expression" dxfId="715" priority="676">
      <formula>$L104="卖出"</formula>
    </cfRule>
  </conditionalFormatting>
  <conditionalFormatting sqref="K104:K105">
    <cfRule type="expression" dxfId="714" priority="675">
      <formula>$L104="卖出"</formula>
    </cfRule>
  </conditionalFormatting>
  <conditionalFormatting sqref="R105">
    <cfRule type="expression" dxfId="713" priority="674">
      <formula>$L105="卖出"</formula>
    </cfRule>
  </conditionalFormatting>
  <conditionalFormatting sqref="M114 A110 A106 L106:M106 C108:C110 D106:F106 I106:J106 J114 C114:E114 A114 I111:J111 R111 A111:G111 J108:J110 L108:M111 E108:E110 A108">
    <cfRule type="expression" dxfId="712" priority="673">
      <formula>$L106="卖出"</formula>
    </cfRule>
  </conditionalFormatting>
  <conditionalFormatting sqref="D108">
    <cfRule type="expression" dxfId="711" priority="668">
      <formula>$L108="卖出"</formula>
    </cfRule>
  </conditionalFormatting>
  <conditionalFormatting sqref="B108">
    <cfRule type="expression" dxfId="710" priority="669">
      <formula>$L108="卖出"</formula>
    </cfRule>
  </conditionalFormatting>
  <conditionalFormatting sqref="K114">
    <cfRule type="expression" dxfId="709" priority="653">
      <formula>$L114="卖出"</formula>
    </cfRule>
  </conditionalFormatting>
  <conditionalFormatting sqref="B106:C106">
    <cfRule type="expression" dxfId="708" priority="672">
      <formula>$L106="卖出"</formula>
    </cfRule>
  </conditionalFormatting>
  <conditionalFormatting sqref="G106">
    <cfRule type="expression" dxfId="707" priority="671">
      <formula>$L106="卖出"</formula>
    </cfRule>
  </conditionalFormatting>
  <conditionalFormatting sqref="R106">
    <cfRule type="expression" dxfId="706" priority="670">
      <formula>$L106="卖出"</formula>
    </cfRule>
  </conditionalFormatting>
  <conditionalFormatting sqref="G108">
    <cfRule type="expression" dxfId="705" priority="667">
      <formula>$L108="卖出"</formula>
    </cfRule>
  </conditionalFormatting>
  <conditionalFormatting sqref="I108">
    <cfRule type="expression" dxfId="704" priority="666">
      <formula>$L108="卖出"</formula>
    </cfRule>
  </conditionalFormatting>
  <conditionalFormatting sqref="R108">
    <cfRule type="expression" dxfId="703" priority="665">
      <formula>$L108="卖出"</formula>
    </cfRule>
  </conditionalFormatting>
  <conditionalFormatting sqref="A109">
    <cfRule type="expression" dxfId="702" priority="664">
      <formula>$L109="卖出"</formula>
    </cfRule>
  </conditionalFormatting>
  <conditionalFormatting sqref="B109:B110">
    <cfRule type="expression" dxfId="701" priority="663">
      <formula>$L109="卖出"</formula>
    </cfRule>
  </conditionalFormatting>
  <conditionalFormatting sqref="D109:D110">
    <cfRule type="expression" dxfId="700" priority="662">
      <formula>$L109="卖出"</formula>
    </cfRule>
  </conditionalFormatting>
  <conditionalFormatting sqref="G109:G110">
    <cfRule type="expression" dxfId="699" priority="661">
      <formula>$L109="卖出"</formula>
    </cfRule>
  </conditionalFormatting>
  <conditionalFormatting sqref="I109:I110">
    <cfRule type="expression" dxfId="698" priority="660">
      <formula>$L109="卖出"</formula>
    </cfRule>
  </conditionalFormatting>
  <conditionalFormatting sqref="R109:R110">
    <cfRule type="expression" dxfId="697" priority="659">
      <formula>$L109="卖出"</formula>
    </cfRule>
  </conditionalFormatting>
  <conditionalFormatting sqref="F108:F110">
    <cfRule type="expression" dxfId="696" priority="658">
      <formula>$L108="卖出"</formula>
    </cfRule>
  </conditionalFormatting>
  <conditionalFormatting sqref="B114">
    <cfRule type="expression" dxfId="695" priority="657">
      <formula>$L114="卖出"</formula>
    </cfRule>
  </conditionalFormatting>
  <conditionalFormatting sqref="G114">
    <cfRule type="expression" dxfId="694" priority="656">
      <formula>$L114="卖出"</formula>
    </cfRule>
  </conditionalFormatting>
  <conditionalFormatting sqref="L114">
    <cfRule type="expression" dxfId="693" priority="655">
      <formula>$L114="卖出"</formula>
    </cfRule>
  </conditionalFormatting>
  <conditionalFormatting sqref="I114">
    <cfRule type="expression" dxfId="692" priority="654">
      <formula>$L114="卖出"</formula>
    </cfRule>
  </conditionalFormatting>
  <conditionalFormatting sqref="F114">
    <cfRule type="expression" dxfId="691" priority="652">
      <formula>$L114="卖出"</formula>
    </cfRule>
  </conditionalFormatting>
  <conditionalFormatting sqref="R114">
    <cfRule type="expression" dxfId="690" priority="651">
      <formula>$L114="卖出"</formula>
    </cfRule>
  </conditionalFormatting>
  <conditionalFormatting sqref="L112:M112 I112:J112 R112 A112:G112">
    <cfRule type="expression" dxfId="689" priority="650">
      <formula>$L112="卖出"</formula>
    </cfRule>
  </conditionalFormatting>
  <conditionalFormatting sqref="A107 L107:M107 D107:F107 I107:J107">
    <cfRule type="expression" dxfId="688" priority="649">
      <formula>$L107="卖出"</formula>
    </cfRule>
  </conditionalFormatting>
  <conditionalFormatting sqref="B107:C107">
    <cfRule type="expression" dxfId="687" priority="648">
      <formula>$L107="卖出"</formula>
    </cfRule>
  </conditionalFormatting>
  <conditionalFormatting sqref="G107">
    <cfRule type="expression" dxfId="686" priority="647">
      <formula>$L107="卖出"</formula>
    </cfRule>
  </conditionalFormatting>
  <conditionalFormatting sqref="R107">
    <cfRule type="expression" dxfId="685" priority="646">
      <formula>$L107="卖出"</formula>
    </cfRule>
  </conditionalFormatting>
  <conditionalFormatting sqref="M115 C115:E115 J115 A115">
    <cfRule type="expression" dxfId="684" priority="645">
      <formula>$L115="卖出"</formula>
    </cfRule>
  </conditionalFormatting>
  <conditionalFormatting sqref="I115">
    <cfRule type="expression" dxfId="683" priority="644">
      <formula>$L115="卖出"</formula>
    </cfRule>
  </conditionalFormatting>
  <conditionalFormatting sqref="R115">
    <cfRule type="expression" dxfId="682" priority="643">
      <formula>$L115="卖出"</formula>
    </cfRule>
  </conditionalFormatting>
  <conditionalFormatting sqref="L115">
    <cfRule type="expression" dxfId="681" priority="642">
      <formula>$L115="卖出"</formula>
    </cfRule>
  </conditionalFormatting>
  <conditionalFormatting sqref="K115">
    <cfRule type="expression" dxfId="680" priority="641">
      <formula>$L115="卖出"</formula>
    </cfRule>
  </conditionalFormatting>
  <conditionalFormatting sqref="F115">
    <cfRule type="expression" dxfId="679" priority="640">
      <formula>$L115="卖出"</formula>
    </cfRule>
  </conditionalFormatting>
  <conditionalFormatting sqref="G115">
    <cfRule type="expression" dxfId="678" priority="639">
      <formula>$L115="卖出"</formula>
    </cfRule>
  </conditionalFormatting>
  <conditionalFormatting sqref="B115">
    <cfRule type="expression" dxfId="677" priority="638">
      <formula>$L115="卖出"</formula>
    </cfRule>
  </conditionalFormatting>
  <conditionalFormatting sqref="D118:E118 E119:E120 J117:J118 E117 C117:C118 A117:A120 M117:M118 A122 E122 M122 R123 A123:F123 I123:J123 L123:M123 R128 L128:M128 A128:G128 I128 I140:J140 A140:G140 L140:M140 R140">
    <cfRule type="expression" dxfId="676" priority="637">
      <formula>$L117="卖出"</formula>
    </cfRule>
  </conditionalFormatting>
  <conditionalFormatting sqref="M126 E126 A126">
    <cfRule type="expression" dxfId="675" priority="572">
      <formula>$L126="卖出"</formula>
    </cfRule>
  </conditionalFormatting>
  <conditionalFormatting sqref="B126">
    <cfRule type="expression" dxfId="674" priority="571">
      <formula>$L126="卖出"</formula>
    </cfRule>
  </conditionalFormatting>
  <conditionalFormatting sqref="G126">
    <cfRule type="expression" dxfId="673" priority="570">
      <formula>$L126="卖出"</formula>
    </cfRule>
  </conditionalFormatting>
  <conditionalFormatting sqref="G124">
    <cfRule type="expression" dxfId="672" priority="551">
      <formula>$L124="卖出"</formula>
    </cfRule>
  </conditionalFormatting>
  <conditionalFormatting sqref="R124 A124:F124 I124:J124 L124:M124">
    <cfRule type="expression" dxfId="671" priority="552">
      <formula>$L124="卖出"</formula>
    </cfRule>
  </conditionalFormatting>
  <conditionalFormatting sqref="M127 E127 A127">
    <cfRule type="expression" dxfId="670" priority="550">
      <formula>$L127="卖出"</formula>
    </cfRule>
  </conditionalFormatting>
  <conditionalFormatting sqref="G127">
    <cfRule type="expression" dxfId="669" priority="548">
      <formula>$L127="卖出"</formula>
    </cfRule>
  </conditionalFormatting>
  <conditionalFormatting sqref="R135:R136 L135:M136 I135:I136 B135:G136">
    <cfRule type="expression" dxfId="668" priority="535">
      <formula>$L135="卖出"</formula>
    </cfRule>
  </conditionalFormatting>
  <conditionalFormatting sqref="J135:J136">
    <cfRule type="expression" dxfId="667" priority="534">
      <formula>$L135="卖出"</formula>
    </cfRule>
  </conditionalFormatting>
  <conditionalFormatting sqref="R138 L138:M138 A138:G138 I138">
    <cfRule type="expression" dxfId="666" priority="533">
      <formula>$L138="卖出"</formula>
    </cfRule>
  </conditionalFormatting>
  <conditionalFormatting sqref="J138">
    <cfRule type="expression" dxfId="665" priority="532">
      <formula>$L138="卖出"</formula>
    </cfRule>
  </conditionalFormatting>
  <conditionalFormatting sqref="R117">
    <cfRule type="expression" dxfId="664" priority="632">
      <formula>$L117="卖出"</formula>
    </cfRule>
  </conditionalFormatting>
  <conditionalFormatting sqref="F117">
    <cfRule type="expression" dxfId="663" priority="629">
      <formula>$L117="卖出"</formula>
    </cfRule>
  </conditionalFormatting>
  <conditionalFormatting sqref="B117">
    <cfRule type="expression" dxfId="662" priority="636">
      <formula>$L117="卖出"</formula>
    </cfRule>
  </conditionalFormatting>
  <conditionalFormatting sqref="I117">
    <cfRule type="expression" dxfId="661" priority="635">
      <formula>$L117="卖出"</formula>
    </cfRule>
  </conditionalFormatting>
  <conditionalFormatting sqref="L117">
    <cfRule type="expression" dxfId="660" priority="634">
      <formula>$L117="卖出"</formula>
    </cfRule>
  </conditionalFormatting>
  <conditionalFormatting sqref="K117">
    <cfRule type="expression" dxfId="659" priority="633">
      <formula>$L117="卖出"</formula>
    </cfRule>
  </conditionalFormatting>
  <conditionalFormatting sqref="G117">
    <cfRule type="expression" dxfId="658" priority="631">
      <formula>$L117="卖出"</formula>
    </cfRule>
  </conditionalFormatting>
  <conditionalFormatting sqref="D117">
    <cfRule type="expression" dxfId="657" priority="630">
      <formula>$L117="卖出"</formula>
    </cfRule>
  </conditionalFormatting>
  <conditionalFormatting sqref="I118">
    <cfRule type="expression" dxfId="656" priority="628">
      <formula>$L118="卖出"</formula>
    </cfRule>
  </conditionalFormatting>
  <conditionalFormatting sqref="R121">
    <cfRule type="expression" dxfId="655" priority="599">
      <formula>$L121="卖出"</formula>
    </cfRule>
  </conditionalFormatting>
  <conditionalFormatting sqref="L118">
    <cfRule type="expression" dxfId="654" priority="627">
      <formula>$L118="卖出"</formula>
    </cfRule>
  </conditionalFormatting>
  <conditionalFormatting sqref="R118">
    <cfRule type="expression" dxfId="653" priority="626">
      <formula>$L118="卖出"</formula>
    </cfRule>
  </conditionalFormatting>
  <conditionalFormatting sqref="B118">
    <cfRule type="expression" dxfId="652" priority="625">
      <formula>$L118="卖出"</formula>
    </cfRule>
  </conditionalFormatting>
  <conditionalFormatting sqref="G118">
    <cfRule type="expression" dxfId="651" priority="624">
      <formula>$L118="卖出"</formula>
    </cfRule>
  </conditionalFormatting>
  <conditionalFormatting sqref="K118">
    <cfRule type="expression" dxfId="650" priority="623">
      <formula>$L118="卖出"</formula>
    </cfRule>
  </conditionalFormatting>
  <conditionalFormatting sqref="F118">
    <cfRule type="expression" dxfId="649" priority="622">
      <formula>$L118="卖出"</formula>
    </cfRule>
  </conditionalFormatting>
  <conditionalFormatting sqref="C119:D119">
    <cfRule type="expression" dxfId="648" priority="621">
      <formula>$L119="卖出"</formula>
    </cfRule>
  </conditionalFormatting>
  <conditionalFormatting sqref="B119">
    <cfRule type="expression" dxfId="647" priority="620">
      <formula>$L119="卖出"</formula>
    </cfRule>
  </conditionalFormatting>
  <conditionalFormatting sqref="F119">
    <cfRule type="expression" dxfId="646" priority="619">
      <formula>$L119="卖出"</formula>
    </cfRule>
  </conditionalFormatting>
  <conditionalFormatting sqref="G119">
    <cfRule type="expression" dxfId="645" priority="618">
      <formula>$L119="卖出"</formula>
    </cfRule>
  </conditionalFormatting>
  <conditionalFormatting sqref="M119 J119">
    <cfRule type="expression" dxfId="644" priority="617">
      <formula>$L119="卖出"</formula>
    </cfRule>
  </conditionalFormatting>
  <conditionalFormatting sqref="I119">
    <cfRule type="expression" dxfId="643" priority="616">
      <formula>$L119="卖出"</formula>
    </cfRule>
  </conditionalFormatting>
  <conditionalFormatting sqref="L119">
    <cfRule type="expression" dxfId="642" priority="615">
      <formula>$L119="卖出"</formula>
    </cfRule>
  </conditionalFormatting>
  <conditionalFormatting sqref="R119">
    <cfRule type="expression" dxfId="641" priority="614">
      <formula>$L119="卖出"</formula>
    </cfRule>
  </conditionalFormatting>
  <conditionalFormatting sqref="C120:D120">
    <cfRule type="expression" dxfId="640" priority="613">
      <formula>$L120="卖出"</formula>
    </cfRule>
  </conditionalFormatting>
  <conditionalFormatting sqref="B120">
    <cfRule type="expression" dxfId="639" priority="612">
      <formula>$L120="卖出"</formula>
    </cfRule>
  </conditionalFormatting>
  <conditionalFormatting sqref="F120">
    <cfRule type="expression" dxfId="638" priority="611">
      <formula>$L120="卖出"</formula>
    </cfRule>
  </conditionalFormatting>
  <conditionalFormatting sqref="B121">
    <cfRule type="expression" dxfId="637" priority="604">
      <formula>$L121="卖出"</formula>
    </cfRule>
  </conditionalFormatting>
  <conditionalFormatting sqref="M120 J120">
    <cfRule type="expression" dxfId="636" priority="610">
      <formula>$L120="卖出"</formula>
    </cfRule>
  </conditionalFormatting>
  <conditionalFormatting sqref="I120">
    <cfRule type="expression" dxfId="635" priority="609">
      <formula>$L120="卖出"</formula>
    </cfRule>
  </conditionalFormatting>
  <conditionalFormatting sqref="L120">
    <cfRule type="expression" dxfId="634" priority="608">
      <formula>$L120="卖出"</formula>
    </cfRule>
  </conditionalFormatting>
  <conditionalFormatting sqref="R120">
    <cfRule type="expression" dxfId="633" priority="607">
      <formula>$L120="卖出"</formula>
    </cfRule>
  </conditionalFormatting>
  <conditionalFormatting sqref="A121 E121">
    <cfRule type="expression" dxfId="632" priority="606">
      <formula>$L121="卖出"</formula>
    </cfRule>
  </conditionalFormatting>
  <conditionalFormatting sqref="C121:D121">
    <cfRule type="expression" dxfId="631" priority="605">
      <formula>$L121="卖出"</formula>
    </cfRule>
  </conditionalFormatting>
  <conditionalFormatting sqref="F121">
    <cfRule type="expression" dxfId="630" priority="603">
      <formula>$L121="卖出"</formula>
    </cfRule>
  </conditionalFormatting>
  <conditionalFormatting sqref="M121 J121">
    <cfRule type="expression" dxfId="629" priority="602">
      <formula>$L121="卖出"</formula>
    </cfRule>
  </conditionalFormatting>
  <conditionalFormatting sqref="I121">
    <cfRule type="expression" dxfId="628" priority="601">
      <formula>$L121="卖出"</formula>
    </cfRule>
  </conditionalFormatting>
  <conditionalFormatting sqref="L121">
    <cfRule type="expression" dxfId="627" priority="600">
      <formula>$L121="卖出"</formula>
    </cfRule>
  </conditionalFormatting>
  <conditionalFormatting sqref="J116 E116 A116 M116">
    <cfRule type="expression" dxfId="626" priority="598">
      <formula>$L116="卖出"</formula>
    </cfRule>
  </conditionalFormatting>
  <conditionalFormatting sqref="R116">
    <cfRule type="expression" dxfId="625" priority="593">
      <formula>$L116="卖出"</formula>
    </cfRule>
  </conditionalFormatting>
  <conditionalFormatting sqref="F116">
    <cfRule type="expression" dxfId="624" priority="590">
      <formula>$L116="卖出"</formula>
    </cfRule>
  </conditionalFormatting>
  <conditionalFormatting sqref="B116">
    <cfRule type="expression" dxfId="623" priority="597">
      <formula>$L116="卖出"</formula>
    </cfRule>
  </conditionalFormatting>
  <conditionalFormatting sqref="I116">
    <cfRule type="expression" dxfId="622" priority="596">
      <formula>$L116="卖出"</formula>
    </cfRule>
  </conditionalFormatting>
  <conditionalFormatting sqref="L116">
    <cfRule type="expression" dxfId="621" priority="595">
      <formula>$L116="卖出"</formula>
    </cfRule>
  </conditionalFormatting>
  <conditionalFormatting sqref="K116">
    <cfRule type="expression" dxfId="620" priority="594">
      <formula>$L116="卖出"</formula>
    </cfRule>
  </conditionalFormatting>
  <conditionalFormatting sqref="G116">
    <cfRule type="expression" dxfId="619" priority="592">
      <formula>$L116="卖出"</formula>
    </cfRule>
  </conditionalFormatting>
  <conditionalFormatting sqref="D116">
    <cfRule type="expression" dxfId="618" priority="591">
      <formula>$L116="卖出"</formula>
    </cfRule>
  </conditionalFormatting>
  <conditionalFormatting sqref="R122">
    <cfRule type="expression" dxfId="617" priority="583">
      <formula>$L122="卖出"</formula>
    </cfRule>
  </conditionalFormatting>
  <conditionalFormatting sqref="C122:D122">
    <cfRule type="expression" dxfId="616" priority="589">
      <formula>$L122="卖出"</formula>
    </cfRule>
  </conditionalFormatting>
  <conditionalFormatting sqref="B122">
    <cfRule type="expression" dxfId="615" priority="588">
      <formula>$L122="卖出"</formula>
    </cfRule>
  </conditionalFormatting>
  <conditionalFormatting sqref="F122">
    <cfRule type="expression" dxfId="614" priority="587">
      <formula>$L122="卖出"</formula>
    </cfRule>
  </conditionalFormatting>
  <conditionalFormatting sqref="J122">
    <cfRule type="expression" dxfId="613" priority="586">
      <formula>$L122="卖出"</formula>
    </cfRule>
  </conditionalFormatting>
  <conditionalFormatting sqref="I122">
    <cfRule type="expression" dxfId="612" priority="585">
      <formula>$L122="卖出"</formula>
    </cfRule>
  </conditionalFormatting>
  <conditionalFormatting sqref="L122">
    <cfRule type="expression" dxfId="611" priority="584">
      <formula>$L122="卖出"</formula>
    </cfRule>
  </conditionalFormatting>
  <conditionalFormatting sqref="C116">
    <cfRule type="expression" dxfId="610" priority="582">
      <formula>$L116="卖出"</formula>
    </cfRule>
  </conditionalFormatting>
  <conditionalFormatting sqref="M125 E125 A125">
    <cfRule type="expression" dxfId="609" priority="581">
      <formula>$L125="卖出"</formula>
    </cfRule>
  </conditionalFormatting>
  <conditionalFormatting sqref="R125">
    <cfRule type="expression" dxfId="608" priority="576">
      <formula>$L125="卖出"</formula>
    </cfRule>
  </conditionalFormatting>
  <conditionalFormatting sqref="B125">
    <cfRule type="expression" dxfId="607" priority="580">
      <formula>$L125="卖出"</formula>
    </cfRule>
  </conditionalFormatting>
  <conditionalFormatting sqref="G125">
    <cfRule type="expression" dxfId="606" priority="579">
      <formula>$L125="卖出"</formula>
    </cfRule>
  </conditionalFormatting>
  <conditionalFormatting sqref="I125">
    <cfRule type="expression" dxfId="605" priority="578">
      <formula>$L125="卖出"</formula>
    </cfRule>
  </conditionalFormatting>
  <conditionalFormatting sqref="L125">
    <cfRule type="expression" dxfId="604" priority="577">
      <formula>$L125="卖出"</formula>
    </cfRule>
  </conditionalFormatting>
  <conditionalFormatting sqref="C125">
    <cfRule type="expression" dxfId="603" priority="575">
      <formula>$L125="卖出"</formula>
    </cfRule>
  </conditionalFormatting>
  <conditionalFormatting sqref="D125">
    <cfRule type="expression" dxfId="602" priority="574">
      <formula>$L125="卖出"</formula>
    </cfRule>
  </conditionalFormatting>
  <conditionalFormatting sqref="F125">
    <cfRule type="expression" dxfId="601" priority="573">
      <formula>$L125="卖出"</formula>
    </cfRule>
  </conditionalFormatting>
  <conditionalFormatting sqref="R126">
    <cfRule type="expression" dxfId="600" priority="567">
      <formula>$L126="卖出"</formula>
    </cfRule>
  </conditionalFormatting>
  <conditionalFormatting sqref="I126">
    <cfRule type="expression" dxfId="599" priority="569">
      <formula>$L126="卖出"</formula>
    </cfRule>
  </conditionalFormatting>
  <conditionalFormatting sqref="L126">
    <cfRule type="expression" dxfId="598" priority="568">
      <formula>$L126="卖出"</formula>
    </cfRule>
  </conditionalFormatting>
  <conditionalFormatting sqref="C126">
    <cfRule type="expression" dxfId="597" priority="566">
      <formula>$L126="卖出"</formula>
    </cfRule>
  </conditionalFormatting>
  <conditionalFormatting sqref="D126">
    <cfRule type="expression" dxfId="596" priority="565">
      <formula>$L126="卖出"</formula>
    </cfRule>
  </conditionalFormatting>
  <conditionalFormatting sqref="F126">
    <cfRule type="expression" dxfId="595" priority="564">
      <formula>$L126="卖出"</formula>
    </cfRule>
  </conditionalFormatting>
  <conditionalFormatting sqref="R141 L141:M141 A141:G141 I141:J141">
    <cfRule type="expression" dxfId="594" priority="563">
      <formula>$L141="卖出"</formula>
    </cfRule>
  </conditionalFormatting>
  <conditionalFormatting sqref="G120:G123">
    <cfRule type="expression" dxfId="593" priority="561">
      <formula>$L120="卖出"</formula>
    </cfRule>
  </conditionalFormatting>
  <conditionalFormatting sqref="R129 L129:M129 A129:G129 I129">
    <cfRule type="expression" dxfId="592" priority="560">
      <formula>$L129="卖出"</formula>
    </cfRule>
  </conditionalFormatting>
  <conditionalFormatting sqref="J125:J126 J128:J129">
    <cfRule type="expression" dxfId="591" priority="559">
      <formula>$L125="卖出"</formula>
    </cfRule>
  </conditionalFormatting>
  <conditionalFormatting sqref="R137 L137:M137 A137:G137 I137">
    <cfRule type="expression" dxfId="590" priority="558">
      <formula>$L137="卖出"</formula>
    </cfRule>
  </conditionalFormatting>
  <conditionalFormatting sqref="J137">
    <cfRule type="expression" dxfId="589" priority="557">
      <formula>$L137="卖出"</formula>
    </cfRule>
  </conditionalFormatting>
  <conditionalFormatting sqref="R130 L130:M130 A130:G130 I130">
    <cfRule type="expression" dxfId="588" priority="556">
      <formula>$L130="卖出"</formula>
    </cfRule>
  </conditionalFormatting>
  <conditionalFormatting sqref="J130">
    <cfRule type="expression" dxfId="587" priority="555">
      <formula>$L130="卖出"</formula>
    </cfRule>
  </conditionalFormatting>
  <conditionalFormatting sqref="R139 L139:M139 A139:G139 I139">
    <cfRule type="expression" dxfId="586" priority="554">
      <formula>$L139="卖出"</formula>
    </cfRule>
  </conditionalFormatting>
  <conditionalFormatting sqref="J139">
    <cfRule type="expression" dxfId="585" priority="553">
      <formula>$L139="卖出"</formula>
    </cfRule>
  </conditionalFormatting>
  <conditionalFormatting sqref="R127">
    <cfRule type="expression" dxfId="584" priority="545">
      <formula>$L127="卖出"</formula>
    </cfRule>
  </conditionalFormatting>
  <conditionalFormatting sqref="B127">
    <cfRule type="expression" dxfId="583" priority="549">
      <formula>$L127="卖出"</formula>
    </cfRule>
  </conditionalFormatting>
  <conditionalFormatting sqref="I127">
    <cfRule type="expression" dxfId="582" priority="547">
      <formula>$L127="卖出"</formula>
    </cfRule>
  </conditionalFormatting>
  <conditionalFormatting sqref="L127">
    <cfRule type="expression" dxfId="581" priority="546">
      <formula>$L127="卖出"</formula>
    </cfRule>
  </conditionalFormatting>
  <conditionalFormatting sqref="C127">
    <cfRule type="expression" dxfId="580" priority="544">
      <formula>$L127="卖出"</formula>
    </cfRule>
  </conditionalFormatting>
  <conditionalFormatting sqref="D127">
    <cfRule type="expression" dxfId="579" priority="543">
      <formula>$L127="卖出"</formula>
    </cfRule>
  </conditionalFormatting>
  <conditionalFormatting sqref="F127">
    <cfRule type="expression" dxfId="578" priority="542">
      <formula>$L127="卖出"</formula>
    </cfRule>
  </conditionalFormatting>
  <conditionalFormatting sqref="J127">
    <cfRule type="expression" dxfId="577" priority="541">
      <formula>$L127="卖出"</formula>
    </cfRule>
  </conditionalFormatting>
  <conditionalFormatting sqref="R131 L131:M131 A131:G131 I131 A134">
    <cfRule type="expression" dxfId="576" priority="539">
      <formula>$L131="卖出"</formula>
    </cfRule>
  </conditionalFormatting>
  <conditionalFormatting sqref="J131">
    <cfRule type="expression" dxfId="575" priority="538">
      <formula>$L131="卖出"</formula>
    </cfRule>
  </conditionalFormatting>
  <conditionalFormatting sqref="R132:R134 L132:M134 A132:G133 I132:I134 B134:G134 A135:A136">
    <cfRule type="expression" dxfId="574" priority="537">
      <formula>$L132="卖出"</formula>
    </cfRule>
  </conditionalFormatting>
  <conditionalFormatting sqref="J132:J134">
    <cfRule type="expression" dxfId="573" priority="536">
      <formula>$L132="卖出"</formula>
    </cfRule>
  </conditionalFormatting>
  <conditionalFormatting sqref="I142:M142 A142 E142 E144 A144">
    <cfRule type="expression" dxfId="572" priority="531">
      <formula>$L142="卖出"</formula>
    </cfRule>
  </conditionalFormatting>
  <conditionalFormatting sqref="C142">
    <cfRule type="expression" dxfId="571" priority="530">
      <formula>$L142="卖出"</formula>
    </cfRule>
  </conditionalFormatting>
  <conditionalFormatting sqref="B142">
    <cfRule type="expression" dxfId="570" priority="529">
      <formula>$L142="卖出"</formula>
    </cfRule>
  </conditionalFormatting>
  <conditionalFormatting sqref="D142">
    <cfRule type="expression" dxfId="569" priority="528">
      <formula>$L142="卖出"</formula>
    </cfRule>
  </conditionalFormatting>
  <conditionalFormatting sqref="F142">
    <cfRule type="expression" dxfId="568" priority="527">
      <formula>$L142="卖出"</formula>
    </cfRule>
  </conditionalFormatting>
  <conditionalFormatting sqref="G142">
    <cfRule type="expression" dxfId="567" priority="526">
      <formula>$L142="卖出"</formula>
    </cfRule>
  </conditionalFormatting>
  <conditionalFormatting sqref="H142 H144">
    <cfRule type="expression" dxfId="566" priority="525">
      <formula>$L142="卖出"</formula>
    </cfRule>
  </conditionalFormatting>
  <conditionalFormatting sqref="F144">
    <cfRule type="expression" dxfId="565" priority="521">
      <formula>$L144="卖出"</formula>
    </cfRule>
  </conditionalFormatting>
  <conditionalFormatting sqref="G144">
    <cfRule type="expression" dxfId="564" priority="520">
      <formula>$L144="卖出"</formula>
    </cfRule>
  </conditionalFormatting>
  <conditionalFormatting sqref="I144">
    <cfRule type="expression" dxfId="563" priority="519">
      <formula>$L144="卖出"</formula>
    </cfRule>
  </conditionalFormatting>
  <conditionalFormatting sqref="L144:M144">
    <cfRule type="expression" dxfId="562" priority="518">
      <formula>$L144="卖出"</formula>
    </cfRule>
  </conditionalFormatting>
  <conditionalFormatting sqref="R144">
    <cfRule type="expression" dxfId="561" priority="517">
      <formula>$L144="卖出"</formula>
    </cfRule>
  </conditionalFormatting>
  <conditionalFormatting sqref="B143">
    <cfRule type="expression" dxfId="560" priority="514">
      <formula>$L143="卖出"</formula>
    </cfRule>
  </conditionalFormatting>
  <conditionalFormatting sqref="G143">
    <cfRule type="expression" dxfId="559" priority="511">
      <formula>$L143="卖出"</formula>
    </cfRule>
  </conditionalFormatting>
  <conditionalFormatting sqref="B144">
    <cfRule type="expression" dxfId="558" priority="524">
      <formula>$L144="卖出"</formula>
    </cfRule>
  </conditionalFormatting>
  <conditionalFormatting sqref="C144">
    <cfRule type="expression" dxfId="557" priority="523">
      <formula>$L144="卖出"</formula>
    </cfRule>
  </conditionalFormatting>
  <conditionalFormatting sqref="D144">
    <cfRule type="expression" dxfId="556" priority="522">
      <formula>$L144="卖出"</formula>
    </cfRule>
  </conditionalFormatting>
  <conditionalFormatting sqref="I143:M143 A143 E143">
    <cfRule type="expression" dxfId="555" priority="516">
      <formula>$L143="卖出"</formula>
    </cfRule>
  </conditionalFormatting>
  <conditionalFormatting sqref="D143">
    <cfRule type="expression" dxfId="554" priority="513">
      <formula>$L143="卖出"</formula>
    </cfRule>
  </conditionalFormatting>
  <conditionalFormatting sqref="C143">
    <cfRule type="expression" dxfId="553" priority="515">
      <formula>$L143="卖出"</formula>
    </cfRule>
  </conditionalFormatting>
  <conditionalFormatting sqref="F143">
    <cfRule type="expression" dxfId="552" priority="512">
      <formula>$L143="卖出"</formula>
    </cfRule>
  </conditionalFormatting>
  <conditionalFormatting sqref="H143">
    <cfRule type="expression" dxfId="551" priority="510">
      <formula>$L143="卖出"</formula>
    </cfRule>
  </conditionalFormatting>
  <conditionalFormatting sqref="M145 E145 A145">
    <cfRule type="expression" dxfId="550" priority="509">
      <formula>$L145="卖出"</formula>
    </cfRule>
  </conditionalFormatting>
  <conditionalFormatting sqref="B145">
    <cfRule type="expression" dxfId="549" priority="507">
      <formula>$L145="卖出"</formula>
    </cfRule>
  </conditionalFormatting>
  <conditionalFormatting sqref="C145">
    <cfRule type="expression" dxfId="548" priority="506">
      <formula>$L145="卖出"</formula>
    </cfRule>
  </conditionalFormatting>
  <conditionalFormatting sqref="D145">
    <cfRule type="expression" dxfId="547" priority="505">
      <formula>$L145="卖出"</formula>
    </cfRule>
  </conditionalFormatting>
  <conditionalFormatting sqref="F145">
    <cfRule type="expression" dxfId="546" priority="504">
      <formula>$L145="卖出"</formula>
    </cfRule>
  </conditionalFormatting>
  <conditionalFormatting sqref="G145">
    <cfRule type="expression" dxfId="545" priority="503">
      <formula>$L145="卖出"</formula>
    </cfRule>
  </conditionalFormatting>
  <conditionalFormatting sqref="I145">
    <cfRule type="expression" dxfId="544" priority="502">
      <formula>$L145="卖出"</formula>
    </cfRule>
  </conditionalFormatting>
  <conditionalFormatting sqref="L145">
    <cfRule type="expression" dxfId="543" priority="501">
      <formula>$L145="卖出"</formula>
    </cfRule>
  </conditionalFormatting>
  <conditionalFormatting sqref="R145">
    <cfRule type="expression" dxfId="542" priority="500">
      <formula>$L145="卖出"</formula>
    </cfRule>
  </conditionalFormatting>
  <conditionalFormatting sqref="J145">
    <cfRule type="expression" dxfId="541" priority="508">
      <formula>$L145="卖出"</formula>
    </cfRule>
  </conditionalFormatting>
  <conditionalFormatting sqref="M149">
    <cfRule type="expression" dxfId="540" priority="489">
      <formula>$L149="卖出"</formula>
    </cfRule>
  </conditionalFormatting>
  <conditionalFormatting sqref="J149">
    <cfRule type="expression" dxfId="539" priority="488">
      <formula>$L149="卖出"</formula>
    </cfRule>
  </conditionalFormatting>
  <conditionalFormatting sqref="D149">
    <cfRule type="expression" dxfId="538" priority="487">
      <formula>$L149="卖出"</formula>
    </cfRule>
  </conditionalFormatting>
  <conditionalFormatting sqref="C149">
    <cfRule type="expression" dxfId="537" priority="486">
      <formula>$L149="卖出"</formula>
    </cfRule>
  </conditionalFormatting>
  <conditionalFormatting sqref="B149">
    <cfRule type="expression" dxfId="536" priority="485">
      <formula>$L149="卖出"</formula>
    </cfRule>
  </conditionalFormatting>
  <conditionalFormatting sqref="D146">
    <cfRule type="expression" dxfId="535" priority="497">
      <formula>$L146="卖出"</formula>
    </cfRule>
  </conditionalFormatting>
  <conditionalFormatting sqref="A146 M146 A148">
    <cfRule type="expression" dxfId="534" priority="499">
      <formula>$L146="卖出"</formula>
    </cfRule>
  </conditionalFormatting>
  <conditionalFormatting sqref="J146">
    <cfRule type="expression" dxfId="533" priority="498">
      <formula>$L146="卖出"</formula>
    </cfRule>
  </conditionalFormatting>
  <conditionalFormatting sqref="C146">
    <cfRule type="expression" dxfId="532" priority="496">
      <formula>$L146="卖出"</formula>
    </cfRule>
  </conditionalFormatting>
  <conditionalFormatting sqref="B146">
    <cfRule type="expression" dxfId="531" priority="495">
      <formula>$L146="卖出"</formula>
    </cfRule>
  </conditionalFormatting>
  <conditionalFormatting sqref="I146">
    <cfRule type="expression" dxfId="530" priority="492">
      <formula>$L146="卖出"</formula>
    </cfRule>
  </conditionalFormatting>
  <conditionalFormatting sqref="F146">
    <cfRule type="expression" dxfId="529" priority="494">
      <formula>$L146="卖出"</formula>
    </cfRule>
  </conditionalFormatting>
  <conditionalFormatting sqref="G146">
    <cfRule type="expression" dxfId="528" priority="493">
      <formula>$L146="卖出"</formula>
    </cfRule>
  </conditionalFormatting>
  <conditionalFormatting sqref="L146">
    <cfRule type="expression" dxfId="527" priority="491">
      <formula>$L146="卖出"</formula>
    </cfRule>
  </conditionalFormatting>
  <conditionalFormatting sqref="R146">
    <cfRule type="expression" dxfId="526" priority="490">
      <formula>$L146="卖出"</formula>
    </cfRule>
  </conditionalFormatting>
  <conditionalFormatting sqref="I149">
    <cfRule type="expression" dxfId="525" priority="482">
      <formula>$L149="卖出"</formula>
    </cfRule>
  </conditionalFormatting>
  <conditionalFormatting sqref="F149">
    <cfRule type="expression" dxfId="524" priority="484">
      <formula>$L149="卖出"</formula>
    </cfRule>
  </conditionalFormatting>
  <conditionalFormatting sqref="G149">
    <cfRule type="expression" dxfId="523" priority="483">
      <formula>$L149="卖出"</formula>
    </cfRule>
  </conditionalFormatting>
  <conditionalFormatting sqref="L149">
    <cfRule type="expression" dxfId="522" priority="481">
      <formula>$L149="卖出"</formula>
    </cfRule>
  </conditionalFormatting>
  <conditionalFormatting sqref="R149">
    <cfRule type="expression" dxfId="521" priority="480">
      <formula>$L149="卖出"</formula>
    </cfRule>
  </conditionalFormatting>
  <conditionalFormatting sqref="D147:D148 A147 M147:M148 A149">
    <cfRule type="expression" dxfId="520" priority="479">
      <formula>$L147="卖出"</formula>
    </cfRule>
  </conditionalFormatting>
  <conditionalFormatting sqref="J147:J148">
    <cfRule type="expression" dxfId="519" priority="478">
      <formula>$L147="卖出"</formula>
    </cfRule>
  </conditionalFormatting>
  <conditionalFormatting sqref="C147:C148">
    <cfRule type="expression" dxfId="518" priority="476">
      <formula>$L147="卖出"</formula>
    </cfRule>
  </conditionalFormatting>
  <conditionalFormatting sqref="B147:B148">
    <cfRule type="expression" dxfId="517" priority="475">
      <formula>$L147="卖出"</formula>
    </cfRule>
  </conditionalFormatting>
  <conditionalFormatting sqref="I147:I148 F147:F148">
    <cfRule type="expression" dxfId="516" priority="474">
      <formula>$L147="卖出"</formula>
    </cfRule>
  </conditionalFormatting>
  <conditionalFormatting sqref="G147:G148">
    <cfRule type="expression" dxfId="515" priority="473">
      <formula>$L147="卖出"</formula>
    </cfRule>
  </conditionalFormatting>
  <conditionalFormatting sqref="L147:L148">
    <cfRule type="expression" dxfId="514" priority="471">
      <formula>$L147="卖出"</formula>
    </cfRule>
  </conditionalFormatting>
  <conditionalFormatting sqref="R147:R148">
    <cfRule type="expression" dxfId="513" priority="470">
      <formula>$L147="卖出"</formula>
    </cfRule>
  </conditionalFormatting>
  <conditionalFormatting sqref="E146:E149">
    <cfRule type="expression" dxfId="512" priority="469">
      <formula>$L146="卖出"</formula>
    </cfRule>
  </conditionalFormatting>
  <conditionalFormatting sqref="A153 M153 E153">
    <cfRule type="expression" dxfId="511" priority="467">
      <formula>$L153="卖出"</formula>
    </cfRule>
  </conditionalFormatting>
  <conditionalFormatting sqref="B155">
    <cfRule type="expression" dxfId="510" priority="392">
      <formula>$L155="卖出"</formula>
    </cfRule>
  </conditionalFormatting>
  <conditionalFormatting sqref="G155">
    <cfRule type="expression" dxfId="509" priority="388">
      <formula>$L155="卖出"</formula>
    </cfRule>
  </conditionalFormatting>
  <conditionalFormatting sqref="R155">
    <cfRule type="expression" dxfId="508" priority="385">
      <formula>$L155="卖出"</formula>
    </cfRule>
  </conditionalFormatting>
  <conditionalFormatting sqref="A156 M156 E156">
    <cfRule type="expression" dxfId="507" priority="349">
      <formula>$L156="卖出"</formula>
    </cfRule>
  </conditionalFormatting>
  <conditionalFormatting sqref="J156">
    <cfRule type="expression" dxfId="506" priority="348">
      <formula>$L156="卖出"</formula>
    </cfRule>
  </conditionalFormatting>
  <conditionalFormatting sqref="B156">
    <cfRule type="expression" dxfId="505" priority="347">
      <formula>$L156="卖出"</formula>
    </cfRule>
  </conditionalFormatting>
  <conditionalFormatting sqref="C156">
    <cfRule type="expression" dxfId="504" priority="346">
      <formula>$L156="卖出"</formula>
    </cfRule>
  </conditionalFormatting>
  <conditionalFormatting sqref="D156">
    <cfRule type="expression" dxfId="503" priority="345">
      <formula>$L156="卖出"</formula>
    </cfRule>
  </conditionalFormatting>
  <conditionalFormatting sqref="F156">
    <cfRule type="expression" dxfId="502" priority="344">
      <formula>$L156="卖出"</formula>
    </cfRule>
  </conditionalFormatting>
  <conditionalFormatting sqref="G156">
    <cfRule type="expression" dxfId="501" priority="343">
      <formula>$L156="卖出"</formula>
    </cfRule>
  </conditionalFormatting>
  <conditionalFormatting sqref="I156">
    <cfRule type="expression" dxfId="500" priority="342">
      <formula>$L156="卖出"</formula>
    </cfRule>
  </conditionalFormatting>
  <conditionalFormatting sqref="L156">
    <cfRule type="expression" dxfId="499" priority="341">
      <formula>$L156="卖出"</formula>
    </cfRule>
  </conditionalFormatting>
  <conditionalFormatting sqref="R156">
    <cfRule type="expression" dxfId="498" priority="340">
      <formula>$L156="卖出"</formula>
    </cfRule>
  </conditionalFormatting>
  <conditionalFormatting sqref="J153">
    <cfRule type="expression" dxfId="497" priority="466">
      <formula>$L153="卖出"</formula>
    </cfRule>
  </conditionalFormatting>
  <conditionalFormatting sqref="B153">
    <cfRule type="expression" dxfId="496" priority="465">
      <formula>$L153="卖出"</formula>
    </cfRule>
  </conditionalFormatting>
  <conditionalFormatting sqref="C153">
    <cfRule type="expression" dxfId="495" priority="464">
      <formula>$L153="卖出"</formula>
    </cfRule>
  </conditionalFormatting>
  <conditionalFormatting sqref="D153">
    <cfRule type="expression" dxfId="494" priority="463">
      <formula>$L153="卖出"</formula>
    </cfRule>
  </conditionalFormatting>
  <conditionalFormatting sqref="F153">
    <cfRule type="expression" dxfId="493" priority="462">
      <formula>$L153="卖出"</formula>
    </cfRule>
  </conditionalFormatting>
  <conditionalFormatting sqref="G153">
    <cfRule type="expression" dxfId="492" priority="461">
      <formula>$L153="卖出"</formula>
    </cfRule>
  </conditionalFormatting>
  <conditionalFormatting sqref="I153">
    <cfRule type="expression" dxfId="491" priority="460">
      <formula>$L153="卖出"</formula>
    </cfRule>
  </conditionalFormatting>
  <conditionalFormatting sqref="L153">
    <cfRule type="expression" dxfId="490" priority="459">
      <formula>$L153="卖出"</formula>
    </cfRule>
  </conditionalFormatting>
  <conditionalFormatting sqref="R153">
    <cfRule type="expression" dxfId="489" priority="458">
      <formula>$L153="卖出"</formula>
    </cfRule>
  </conditionalFormatting>
  <conditionalFormatting sqref="A152 M152 E152">
    <cfRule type="expression" dxfId="488" priority="457">
      <formula>$L152="卖出"</formula>
    </cfRule>
  </conditionalFormatting>
  <conditionalFormatting sqref="J152">
    <cfRule type="expression" dxfId="487" priority="456">
      <formula>$L152="卖出"</formula>
    </cfRule>
  </conditionalFormatting>
  <conditionalFormatting sqref="B152">
    <cfRule type="expression" dxfId="486" priority="455">
      <formula>$L152="卖出"</formula>
    </cfRule>
  </conditionalFormatting>
  <conditionalFormatting sqref="C152">
    <cfRule type="expression" dxfId="485" priority="454">
      <formula>$L152="卖出"</formula>
    </cfRule>
  </conditionalFormatting>
  <conditionalFormatting sqref="D152">
    <cfRule type="expression" dxfId="484" priority="453">
      <formula>$L152="卖出"</formula>
    </cfRule>
  </conditionalFormatting>
  <conditionalFormatting sqref="F152">
    <cfRule type="expression" dxfId="483" priority="452">
      <formula>$L152="卖出"</formula>
    </cfRule>
  </conditionalFormatting>
  <conditionalFormatting sqref="G152">
    <cfRule type="expression" dxfId="482" priority="451">
      <formula>$L152="卖出"</formula>
    </cfRule>
  </conditionalFormatting>
  <conditionalFormatting sqref="I152">
    <cfRule type="expression" dxfId="481" priority="450">
      <formula>$L152="卖出"</formula>
    </cfRule>
  </conditionalFormatting>
  <conditionalFormatting sqref="L152">
    <cfRule type="expression" dxfId="480" priority="449">
      <formula>$L152="卖出"</formula>
    </cfRule>
  </conditionalFormatting>
  <conditionalFormatting sqref="R152">
    <cfRule type="expression" dxfId="479" priority="448">
      <formula>$L152="卖出"</formula>
    </cfRule>
  </conditionalFormatting>
  <conditionalFormatting sqref="A157">
    <cfRule type="expression" dxfId="478" priority="436">
      <formula>$L157="卖出"</formula>
    </cfRule>
  </conditionalFormatting>
  <conditionalFormatting sqref="B157">
    <cfRule type="expression" dxfId="477" priority="435">
      <formula>$L157="卖出"</formula>
    </cfRule>
  </conditionalFormatting>
  <conditionalFormatting sqref="C157">
    <cfRule type="expression" dxfId="476" priority="434">
      <formula>$L157="卖出"</formula>
    </cfRule>
  </conditionalFormatting>
  <conditionalFormatting sqref="D157">
    <cfRule type="expression" dxfId="475" priority="433">
      <formula>$L157="卖出"</formula>
    </cfRule>
  </conditionalFormatting>
  <conditionalFormatting sqref="E157">
    <cfRule type="expression" dxfId="474" priority="432">
      <formula>$L157="卖出"</formula>
    </cfRule>
  </conditionalFormatting>
  <conditionalFormatting sqref="F157">
    <cfRule type="expression" dxfId="473" priority="431">
      <formula>$L157="卖出"</formula>
    </cfRule>
  </conditionalFormatting>
  <conditionalFormatting sqref="G157">
    <cfRule type="expression" dxfId="472" priority="430">
      <formula>$L157="卖出"</formula>
    </cfRule>
  </conditionalFormatting>
  <conditionalFormatting sqref="M157">
    <cfRule type="expression" dxfId="471" priority="429">
      <formula>$L157="卖出"</formula>
    </cfRule>
  </conditionalFormatting>
  <conditionalFormatting sqref="J157">
    <cfRule type="expression" dxfId="470" priority="428">
      <formula>$L157="卖出"</formula>
    </cfRule>
  </conditionalFormatting>
  <conditionalFormatting sqref="I157">
    <cfRule type="expression" dxfId="469" priority="427">
      <formula>$L157="卖出"</formula>
    </cfRule>
  </conditionalFormatting>
  <conditionalFormatting sqref="L157">
    <cfRule type="expression" dxfId="468" priority="426">
      <formula>$L157="卖出"</formula>
    </cfRule>
  </conditionalFormatting>
  <conditionalFormatting sqref="R157">
    <cfRule type="expression" dxfId="467" priority="425">
      <formula>$L157="卖出"</formula>
    </cfRule>
  </conditionalFormatting>
  <conditionalFormatting sqref="A151 M151 E151">
    <cfRule type="expression" dxfId="466" priority="424">
      <formula>$L151="卖出"</formula>
    </cfRule>
  </conditionalFormatting>
  <conditionalFormatting sqref="J151">
    <cfRule type="expression" dxfId="465" priority="423">
      <formula>$L151="卖出"</formula>
    </cfRule>
  </conditionalFormatting>
  <conditionalFormatting sqref="B151">
    <cfRule type="expression" dxfId="464" priority="422">
      <formula>$L151="卖出"</formula>
    </cfRule>
  </conditionalFormatting>
  <conditionalFormatting sqref="C151">
    <cfRule type="expression" dxfId="463" priority="421">
      <formula>$L151="卖出"</formula>
    </cfRule>
  </conditionalFormatting>
  <conditionalFormatting sqref="D151">
    <cfRule type="expression" dxfId="462" priority="420">
      <formula>$L151="卖出"</formula>
    </cfRule>
  </conditionalFormatting>
  <conditionalFormatting sqref="F151">
    <cfRule type="expression" dxfId="461" priority="419">
      <formula>$L151="卖出"</formula>
    </cfRule>
  </conditionalFormatting>
  <conditionalFormatting sqref="G151">
    <cfRule type="expression" dxfId="460" priority="418">
      <formula>$L151="卖出"</formula>
    </cfRule>
  </conditionalFormatting>
  <conditionalFormatting sqref="I151">
    <cfRule type="expression" dxfId="459" priority="417">
      <formula>$L151="卖出"</formula>
    </cfRule>
  </conditionalFormatting>
  <conditionalFormatting sqref="L151">
    <cfRule type="expression" dxfId="458" priority="416">
      <formula>$L151="卖出"</formula>
    </cfRule>
  </conditionalFormatting>
  <conditionalFormatting sqref="R151">
    <cfRule type="expression" dxfId="457" priority="415">
      <formula>$L151="卖出"</formula>
    </cfRule>
  </conditionalFormatting>
  <conditionalFormatting sqref="A150 M150 E150">
    <cfRule type="expression" dxfId="456" priority="414">
      <formula>$L150="卖出"</formula>
    </cfRule>
  </conditionalFormatting>
  <conditionalFormatting sqref="J150">
    <cfRule type="expression" dxfId="455" priority="413">
      <formula>$L150="卖出"</formula>
    </cfRule>
  </conditionalFormatting>
  <conditionalFormatting sqref="B150">
    <cfRule type="expression" dxfId="454" priority="412">
      <formula>$L150="卖出"</formula>
    </cfRule>
  </conditionalFormatting>
  <conditionalFormatting sqref="C150">
    <cfRule type="expression" dxfId="453" priority="411">
      <formula>$L150="卖出"</formula>
    </cfRule>
  </conditionalFormatting>
  <conditionalFormatting sqref="D150">
    <cfRule type="expression" dxfId="452" priority="410">
      <formula>$L150="卖出"</formula>
    </cfRule>
  </conditionalFormatting>
  <conditionalFormatting sqref="F150">
    <cfRule type="expression" dxfId="451" priority="409">
      <formula>$L150="卖出"</formula>
    </cfRule>
  </conditionalFormatting>
  <conditionalFormatting sqref="G150">
    <cfRule type="expression" dxfId="450" priority="408">
      <formula>$L150="卖出"</formula>
    </cfRule>
  </conditionalFormatting>
  <conditionalFormatting sqref="I150">
    <cfRule type="expression" dxfId="449" priority="407">
      <formula>$L150="卖出"</formula>
    </cfRule>
  </conditionalFormatting>
  <conditionalFormatting sqref="L150">
    <cfRule type="expression" dxfId="448" priority="406">
      <formula>$L150="卖出"</formula>
    </cfRule>
  </conditionalFormatting>
  <conditionalFormatting sqref="R150">
    <cfRule type="expression" dxfId="447" priority="405">
      <formula>$L150="卖出"</formula>
    </cfRule>
  </conditionalFormatting>
  <conditionalFormatting sqref="A154 M154 E154">
    <cfRule type="expression" dxfId="446" priority="404">
      <formula>$L154="卖出"</formula>
    </cfRule>
  </conditionalFormatting>
  <conditionalFormatting sqref="J154">
    <cfRule type="expression" dxfId="445" priority="403">
      <formula>$L154="卖出"</formula>
    </cfRule>
  </conditionalFormatting>
  <conditionalFormatting sqref="B154">
    <cfRule type="expression" dxfId="444" priority="402">
      <formula>$L154="卖出"</formula>
    </cfRule>
  </conditionalFormatting>
  <conditionalFormatting sqref="C154">
    <cfRule type="expression" dxfId="443" priority="401">
      <formula>$L154="卖出"</formula>
    </cfRule>
  </conditionalFormatting>
  <conditionalFormatting sqref="D154">
    <cfRule type="expression" dxfId="442" priority="400">
      <formula>$L154="卖出"</formula>
    </cfRule>
  </conditionalFormatting>
  <conditionalFormatting sqref="F154">
    <cfRule type="expression" dxfId="441" priority="399">
      <formula>$L154="卖出"</formula>
    </cfRule>
  </conditionalFormatting>
  <conditionalFormatting sqref="G154">
    <cfRule type="expression" dxfId="440" priority="398">
      <formula>$L154="卖出"</formula>
    </cfRule>
  </conditionalFormatting>
  <conditionalFormatting sqref="I154">
    <cfRule type="expression" dxfId="439" priority="397">
      <formula>$L154="卖出"</formula>
    </cfRule>
  </conditionalFormatting>
  <conditionalFormatting sqref="L154">
    <cfRule type="expression" dxfId="438" priority="396">
      <formula>$L154="卖出"</formula>
    </cfRule>
  </conditionalFormatting>
  <conditionalFormatting sqref="R154">
    <cfRule type="expression" dxfId="437" priority="395">
      <formula>$L154="卖出"</formula>
    </cfRule>
  </conditionalFormatting>
  <conditionalFormatting sqref="A155 M155 E155">
    <cfRule type="expression" dxfId="436" priority="394">
      <formula>$L155="卖出"</formula>
    </cfRule>
  </conditionalFormatting>
  <conditionalFormatting sqref="J155">
    <cfRule type="expression" dxfId="435" priority="393">
      <formula>$L155="卖出"</formula>
    </cfRule>
  </conditionalFormatting>
  <conditionalFormatting sqref="C155">
    <cfRule type="expression" dxfId="434" priority="391">
      <formula>$L155="卖出"</formula>
    </cfRule>
  </conditionalFormatting>
  <conditionalFormatting sqref="D155">
    <cfRule type="expression" dxfId="433" priority="390">
      <formula>$L155="卖出"</formula>
    </cfRule>
  </conditionalFormatting>
  <conditionalFormatting sqref="F155">
    <cfRule type="expression" dxfId="432" priority="389">
      <formula>$L155="卖出"</formula>
    </cfRule>
  </conditionalFormatting>
  <conditionalFormatting sqref="I155">
    <cfRule type="expression" dxfId="431" priority="387">
      <formula>$L155="卖出"</formula>
    </cfRule>
  </conditionalFormatting>
  <conditionalFormatting sqref="L155">
    <cfRule type="expression" dxfId="430" priority="386">
      <formula>$L155="卖出"</formula>
    </cfRule>
  </conditionalFormatting>
  <conditionalFormatting sqref="B191:B192">
    <cfRule type="expression" dxfId="429" priority="176">
      <formula>$L191="卖出"</formula>
    </cfRule>
  </conditionalFormatting>
  <conditionalFormatting sqref="C191:C192">
    <cfRule type="expression" dxfId="428" priority="175">
      <formula>$L191="卖出"</formula>
    </cfRule>
  </conditionalFormatting>
  <conditionalFormatting sqref="G191:G192">
    <cfRule type="expression" dxfId="427" priority="173">
      <formula>$L191="卖出"</formula>
    </cfRule>
  </conditionalFormatting>
  <conditionalFormatting sqref="I191:I192">
    <cfRule type="expression" dxfId="426" priority="172">
      <formula>$L191="卖出"</formula>
    </cfRule>
  </conditionalFormatting>
  <conditionalFormatting sqref="L191:L192">
    <cfRule type="expression" dxfId="425" priority="171">
      <formula>$L191="卖出"</formula>
    </cfRule>
  </conditionalFormatting>
  <conditionalFormatting sqref="F191:F192">
    <cfRule type="expression" dxfId="424" priority="170">
      <formula>$L191="卖出"</formula>
    </cfRule>
  </conditionalFormatting>
  <conditionalFormatting sqref="J193 M193 A193 E193 R193">
    <cfRule type="expression" dxfId="423" priority="169">
      <formula>$L193="卖出"</formula>
    </cfRule>
  </conditionalFormatting>
  <conditionalFormatting sqref="B193">
    <cfRule type="expression" dxfId="422" priority="168">
      <formula>$L193="卖出"</formula>
    </cfRule>
  </conditionalFormatting>
  <conditionalFormatting sqref="C193">
    <cfRule type="expression" dxfId="421" priority="167">
      <formula>$L193="卖出"</formula>
    </cfRule>
  </conditionalFormatting>
  <conditionalFormatting sqref="G193">
    <cfRule type="expression" dxfId="420" priority="165">
      <formula>$L193="卖出"</formula>
    </cfRule>
  </conditionalFormatting>
  <conditionalFormatting sqref="I193">
    <cfRule type="expression" dxfId="419" priority="164">
      <formula>$L193="卖出"</formula>
    </cfRule>
  </conditionalFormatting>
  <conditionalFormatting sqref="L193">
    <cfRule type="expression" dxfId="418" priority="163">
      <formula>$L193="卖出"</formula>
    </cfRule>
  </conditionalFormatting>
  <conditionalFormatting sqref="F193">
    <cfRule type="expression" dxfId="417" priority="162">
      <formula>$L193="卖出"</formula>
    </cfRule>
  </conditionalFormatting>
  <conditionalFormatting sqref="D191:D193">
    <cfRule type="expression" dxfId="416" priority="161">
      <formula>$L191="卖出"</formula>
    </cfRule>
  </conditionalFormatting>
  <conditionalFormatting sqref="A194">
    <cfRule type="expression" dxfId="415" priority="160">
      <formula>$L194="卖出"</formula>
    </cfRule>
  </conditionalFormatting>
  <conditionalFormatting sqref="B200">
    <cfRule type="expression" dxfId="414" priority="147">
      <formula>$L200="卖出"</formula>
    </cfRule>
  </conditionalFormatting>
  <conditionalFormatting sqref="E194">
    <cfRule type="expression" dxfId="413" priority="159">
      <formula>$L194="卖出"</formula>
    </cfRule>
  </conditionalFormatting>
  <conditionalFormatting sqref="C194">
    <cfRule type="expression" dxfId="412" priority="158">
      <formula>$L194="卖出"</formula>
    </cfRule>
  </conditionalFormatting>
  <conditionalFormatting sqref="J194 M194">
    <cfRule type="expression" dxfId="411" priority="157">
      <formula>$L194="卖出"</formula>
    </cfRule>
  </conditionalFormatting>
  <conditionalFormatting sqref="B194">
    <cfRule type="expression" dxfId="410" priority="155">
      <formula>$L194="卖出"</formula>
    </cfRule>
  </conditionalFormatting>
  <conditionalFormatting sqref="D194">
    <cfRule type="expression" dxfId="409" priority="154">
      <formula>$L194="卖出"</formula>
    </cfRule>
  </conditionalFormatting>
  <conditionalFormatting sqref="R194">
    <cfRule type="expression" dxfId="408" priority="153">
      <formula>$L194="卖出"</formula>
    </cfRule>
  </conditionalFormatting>
  <conditionalFormatting sqref="L194">
    <cfRule type="expression" dxfId="407" priority="152">
      <formula>$L194="卖出"</formula>
    </cfRule>
  </conditionalFormatting>
  <conditionalFormatting sqref="I194">
    <cfRule type="expression" dxfId="406" priority="151">
      <formula>$L194="卖出"</formula>
    </cfRule>
  </conditionalFormatting>
  <conditionalFormatting sqref="F194">
    <cfRule type="expression" dxfId="405" priority="150">
      <formula>$L194="卖出"</formula>
    </cfRule>
  </conditionalFormatting>
  <conditionalFormatting sqref="G194">
    <cfRule type="expression" dxfId="404" priority="149">
      <formula>$L194="卖出"</formula>
    </cfRule>
  </conditionalFormatting>
  <conditionalFormatting sqref="E204 C209 E209">
    <cfRule type="expression" dxfId="403" priority="148">
      <formula>$L204="卖出"</formula>
    </cfRule>
  </conditionalFormatting>
  <conditionalFormatting sqref="D200">
    <cfRule type="expression" dxfId="402" priority="146">
      <formula>$L200="卖出"</formula>
    </cfRule>
  </conditionalFormatting>
  <conditionalFormatting sqref="G200">
    <cfRule type="expression" dxfId="401" priority="145">
      <formula>$L200="卖出"</formula>
    </cfRule>
  </conditionalFormatting>
  <conditionalFormatting sqref="I200">
    <cfRule type="expression" dxfId="400" priority="144">
      <formula>$L200="卖出"</formula>
    </cfRule>
  </conditionalFormatting>
  <conditionalFormatting sqref="L200">
    <cfRule type="expression" dxfId="399" priority="143">
      <formula>$L200="卖出"</formula>
    </cfRule>
  </conditionalFormatting>
  <conditionalFormatting sqref="C200">
    <cfRule type="expression" dxfId="398" priority="142">
      <formula>$L200="卖出"</formula>
    </cfRule>
  </conditionalFormatting>
  <conditionalFormatting sqref="F200">
    <cfRule type="expression" dxfId="397" priority="141">
      <formula>$L200="卖出"</formula>
    </cfRule>
  </conditionalFormatting>
  <conditionalFormatting sqref="B201">
    <cfRule type="expression" dxfId="396" priority="140">
      <formula>$L201="卖出"</formula>
    </cfRule>
  </conditionalFormatting>
  <conditionalFormatting sqref="D201">
    <cfRule type="expression" dxfId="395" priority="139">
      <formula>$L201="卖出"</formula>
    </cfRule>
  </conditionalFormatting>
  <conditionalFormatting sqref="E201">
    <cfRule type="expression" dxfId="394" priority="138">
      <formula>$L201="卖出"</formula>
    </cfRule>
  </conditionalFormatting>
  <conditionalFormatting sqref="M201 R201 J201">
    <cfRule type="expression" dxfId="393" priority="137">
      <formula>$L201="卖出"</formula>
    </cfRule>
  </conditionalFormatting>
  <conditionalFormatting sqref="G201">
    <cfRule type="expression" dxfId="392" priority="136">
      <formula>$L201="卖出"</formula>
    </cfRule>
  </conditionalFormatting>
  <conditionalFormatting sqref="I201">
    <cfRule type="expression" dxfId="391" priority="135">
      <formula>$L201="卖出"</formula>
    </cfRule>
  </conditionalFormatting>
  <conditionalFormatting sqref="L201">
    <cfRule type="expression" dxfId="390" priority="134">
      <formula>$L201="卖出"</formula>
    </cfRule>
  </conditionalFormatting>
  <conditionalFormatting sqref="C201">
    <cfRule type="expression" dxfId="389" priority="131">
      <formula>$L201="卖出"</formula>
    </cfRule>
  </conditionalFormatting>
  <conditionalFormatting sqref="F201">
    <cfRule type="expression" dxfId="388" priority="132">
      <formula>$L201="卖出"</formula>
    </cfRule>
  </conditionalFormatting>
  <conditionalFormatting sqref="A195 M195 E195 R195 J195">
    <cfRule type="expression" dxfId="387" priority="130">
      <formula>$L195="卖出"</formula>
    </cfRule>
  </conditionalFormatting>
  <conditionalFormatting sqref="B195">
    <cfRule type="expression" dxfId="386" priority="129">
      <formula>$L195="卖出"</formula>
    </cfRule>
  </conditionalFormatting>
  <conditionalFormatting sqref="D195">
    <cfRule type="expression" dxfId="385" priority="128">
      <formula>$L195="卖出"</formula>
    </cfRule>
  </conditionalFormatting>
  <conditionalFormatting sqref="G195">
    <cfRule type="expression" dxfId="384" priority="127">
      <formula>$L195="卖出"</formula>
    </cfRule>
  </conditionalFormatting>
  <conditionalFormatting sqref="I195">
    <cfRule type="expression" dxfId="383" priority="126">
      <formula>$L195="卖出"</formula>
    </cfRule>
  </conditionalFormatting>
  <conditionalFormatting sqref="L195">
    <cfRule type="expression" dxfId="382" priority="125">
      <formula>$L195="卖出"</formula>
    </cfRule>
  </conditionalFormatting>
  <conditionalFormatting sqref="C195">
    <cfRule type="expression" dxfId="381" priority="124">
      <formula>$L195="卖出"</formula>
    </cfRule>
  </conditionalFormatting>
  <conditionalFormatting sqref="F195">
    <cfRule type="expression" dxfId="380" priority="123">
      <formula>$L195="卖出"</formula>
    </cfRule>
  </conditionalFormatting>
  <conditionalFormatting sqref="B202">
    <cfRule type="expression" dxfId="379" priority="122">
      <formula>$L202="卖出"</formula>
    </cfRule>
  </conditionalFormatting>
  <conditionalFormatting sqref="D202">
    <cfRule type="expression" dxfId="378" priority="121">
      <formula>$L202="卖出"</formula>
    </cfRule>
  </conditionalFormatting>
  <conditionalFormatting sqref="E202">
    <cfRule type="expression" dxfId="377" priority="120">
      <formula>$L202="卖出"</formula>
    </cfRule>
  </conditionalFormatting>
  <conditionalFormatting sqref="M202 R202 J202">
    <cfRule type="expression" dxfId="376" priority="119">
      <formula>$L202="卖出"</formula>
    </cfRule>
  </conditionalFormatting>
  <conditionalFormatting sqref="G202">
    <cfRule type="expression" dxfId="375" priority="118">
      <formula>$L202="卖出"</formula>
    </cfRule>
  </conditionalFormatting>
  <conditionalFormatting sqref="I202">
    <cfRule type="expression" dxfId="374" priority="117">
      <formula>$L202="卖出"</formula>
    </cfRule>
  </conditionalFormatting>
  <conditionalFormatting sqref="L202">
    <cfRule type="expression" dxfId="373" priority="116">
      <formula>$L202="卖出"</formula>
    </cfRule>
  </conditionalFormatting>
  <conditionalFormatting sqref="C202">
    <cfRule type="expression" dxfId="372" priority="113">
      <formula>$L202="卖出"</formula>
    </cfRule>
  </conditionalFormatting>
  <conditionalFormatting sqref="F202">
    <cfRule type="expression" dxfId="371" priority="112">
      <formula>$L202="卖出"</formula>
    </cfRule>
  </conditionalFormatting>
  <conditionalFormatting sqref="A203">
    <cfRule type="expression" dxfId="370" priority="111">
      <formula>$L203="卖出"</formula>
    </cfRule>
  </conditionalFormatting>
  <conditionalFormatting sqref="B203">
    <cfRule type="expression" dxfId="369" priority="110">
      <formula>$L203="卖出"</formula>
    </cfRule>
  </conditionalFormatting>
  <conditionalFormatting sqref="D203">
    <cfRule type="expression" dxfId="368" priority="109">
      <formula>$L203="卖出"</formula>
    </cfRule>
  </conditionalFormatting>
  <conditionalFormatting sqref="E203">
    <cfRule type="expression" dxfId="367" priority="108">
      <formula>$L203="卖出"</formula>
    </cfRule>
  </conditionalFormatting>
  <conditionalFormatting sqref="M203 R203">
    <cfRule type="expression" dxfId="366" priority="107">
      <formula>$L203="卖出"</formula>
    </cfRule>
  </conditionalFormatting>
  <conditionalFormatting sqref="G203">
    <cfRule type="expression" dxfId="365" priority="106">
      <formula>$L203="卖出"</formula>
    </cfRule>
  </conditionalFormatting>
  <conditionalFormatting sqref="I203">
    <cfRule type="expression" dxfId="364" priority="105">
      <formula>$L203="卖出"</formula>
    </cfRule>
  </conditionalFormatting>
  <conditionalFormatting sqref="L203">
    <cfRule type="expression" dxfId="363" priority="104">
      <formula>$L203="卖出"</formula>
    </cfRule>
  </conditionalFormatting>
  <conditionalFormatting sqref="C203">
    <cfRule type="expression" dxfId="362" priority="103">
      <formula>$L203="卖出"</formula>
    </cfRule>
  </conditionalFormatting>
  <conditionalFormatting sqref="F203">
    <cfRule type="expression" dxfId="361" priority="102">
      <formula>$L203="卖出"</formula>
    </cfRule>
  </conditionalFormatting>
  <conditionalFormatting sqref="G204">
    <cfRule type="expression" dxfId="360" priority="101">
      <formula>$L204="卖出"</formula>
    </cfRule>
  </conditionalFormatting>
  <conditionalFormatting sqref="I204">
    <cfRule type="expression" dxfId="359" priority="100">
      <formula>$L204="卖出"</formula>
    </cfRule>
  </conditionalFormatting>
  <conditionalFormatting sqref="L204">
    <cfRule type="expression" dxfId="358" priority="99">
      <formula>$L204="卖出"</formula>
    </cfRule>
  </conditionalFormatting>
  <conditionalFormatting sqref="R204">
    <cfRule type="expression" dxfId="357" priority="98">
      <formula>$L204="卖出"</formula>
    </cfRule>
  </conditionalFormatting>
  <conditionalFormatting sqref="B204">
    <cfRule type="expression" dxfId="356" priority="97">
      <formula>$L204="卖出"</formula>
    </cfRule>
  </conditionalFormatting>
  <conditionalFormatting sqref="C204">
    <cfRule type="expression" dxfId="355" priority="96">
      <formula>$L204="卖出"</formula>
    </cfRule>
  </conditionalFormatting>
  <conditionalFormatting sqref="D204">
    <cfRule type="expression" dxfId="354" priority="95">
      <formula>$L204="卖出"</formula>
    </cfRule>
  </conditionalFormatting>
  <conditionalFormatting sqref="F204">
    <cfRule type="expression" dxfId="353" priority="94">
      <formula>$L204="卖出"</formula>
    </cfRule>
  </conditionalFormatting>
  <conditionalFormatting sqref="A196 M196 E196 R196 J196">
    <cfRule type="expression" dxfId="352" priority="89">
      <formula>$L196="卖出"</formula>
    </cfRule>
  </conditionalFormatting>
  <conditionalFormatting sqref="B196">
    <cfRule type="expression" dxfId="351" priority="88">
      <formula>$L196="卖出"</formula>
    </cfRule>
  </conditionalFormatting>
  <conditionalFormatting sqref="D196">
    <cfRule type="expression" dxfId="350" priority="87">
      <formula>$L196="卖出"</formula>
    </cfRule>
  </conditionalFormatting>
  <conditionalFormatting sqref="G196">
    <cfRule type="expression" dxfId="349" priority="86">
      <formula>$L196="卖出"</formula>
    </cfRule>
  </conditionalFormatting>
  <conditionalFormatting sqref="I196">
    <cfRule type="expression" dxfId="348" priority="85">
      <formula>$L196="卖出"</formula>
    </cfRule>
  </conditionalFormatting>
  <conditionalFormatting sqref="L196">
    <cfRule type="expression" dxfId="347" priority="84">
      <formula>$L196="卖出"</formula>
    </cfRule>
  </conditionalFormatting>
  <conditionalFormatting sqref="C196">
    <cfRule type="expression" dxfId="346" priority="83">
      <formula>$L196="卖出"</formula>
    </cfRule>
  </conditionalFormatting>
  <conditionalFormatting sqref="F196">
    <cfRule type="expression" dxfId="345" priority="82">
      <formula>$L196="卖出"</formula>
    </cfRule>
  </conditionalFormatting>
  <conditionalFormatting sqref="A197:A198 M197:M198 E197:E198 R197:R198 J197:J198">
    <cfRule type="expression" dxfId="344" priority="81">
      <formula>$L197="卖出"</formula>
    </cfRule>
  </conditionalFormatting>
  <conditionalFormatting sqref="B197:B198">
    <cfRule type="expression" dxfId="343" priority="80">
      <formula>$L197="卖出"</formula>
    </cfRule>
  </conditionalFormatting>
  <conditionalFormatting sqref="D197:D198">
    <cfRule type="expression" dxfId="342" priority="79">
      <formula>$L197="卖出"</formula>
    </cfRule>
  </conditionalFormatting>
  <conditionalFormatting sqref="G197:G198">
    <cfRule type="expression" dxfId="341" priority="78">
      <formula>$L197="卖出"</formula>
    </cfRule>
  </conditionalFormatting>
  <conditionalFormatting sqref="I197:I198">
    <cfRule type="expression" dxfId="340" priority="77">
      <formula>$L197="卖出"</formula>
    </cfRule>
  </conditionalFormatting>
  <conditionalFormatting sqref="L197:L198">
    <cfRule type="expression" dxfId="339" priority="76">
      <formula>$L197="卖出"</formula>
    </cfRule>
  </conditionalFormatting>
  <conditionalFormatting sqref="C197:C198">
    <cfRule type="expression" dxfId="338" priority="75">
      <formula>$L197="卖出"</formula>
    </cfRule>
  </conditionalFormatting>
  <conditionalFormatting sqref="F197:F198">
    <cfRule type="expression" dxfId="337" priority="74">
      <formula>$L197="卖出"</formula>
    </cfRule>
  </conditionalFormatting>
  <conditionalFormatting sqref="R205 I205:M205 A205:G205">
    <cfRule type="expression" dxfId="336" priority="73">
      <formula>$L205="卖出"</formula>
    </cfRule>
  </conditionalFormatting>
  <conditionalFormatting sqref="J206:K206 A206 M206">
    <cfRule type="expression" dxfId="335" priority="72">
      <formula>$L206="卖出"</formula>
    </cfRule>
  </conditionalFormatting>
  <conditionalFormatting sqref="H206">
    <cfRule type="expression" dxfId="334" priority="71">
      <formula>$L206="卖出"</formula>
    </cfRule>
  </conditionalFormatting>
  <conditionalFormatting sqref="E206">
    <cfRule type="expression" dxfId="333" priority="70">
      <formula>$L206="卖出"</formula>
    </cfRule>
  </conditionalFormatting>
  <conditionalFormatting sqref="G206">
    <cfRule type="expression" dxfId="332" priority="69">
      <formula>$L206="卖出"</formula>
    </cfRule>
  </conditionalFormatting>
  <conditionalFormatting sqref="I206">
    <cfRule type="expression" dxfId="331" priority="68">
      <formula>$L206="卖出"</formula>
    </cfRule>
  </conditionalFormatting>
  <conditionalFormatting sqref="L206">
    <cfRule type="expression" dxfId="330" priority="67">
      <formula>$L206="卖出"</formula>
    </cfRule>
  </conditionalFormatting>
  <conditionalFormatting sqref="R206">
    <cfRule type="expression" dxfId="329" priority="66">
      <formula>$L206="卖出"</formula>
    </cfRule>
  </conditionalFormatting>
  <conditionalFormatting sqref="B206">
    <cfRule type="expression" dxfId="328" priority="65">
      <formula>$L206="卖出"</formula>
    </cfRule>
  </conditionalFormatting>
  <conditionalFormatting sqref="F207">
    <cfRule type="expression" dxfId="327" priority="51">
      <formula>$L207="卖出"</formula>
    </cfRule>
  </conditionalFormatting>
  <conditionalFormatting sqref="F206">
    <cfRule type="expression" dxfId="326" priority="62">
      <formula>$L206="卖出"</formula>
    </cfRule>
  </conditionalFormatting>
  <conditionalFormatting sqref="C206">
    <cfRule type="expression" dxfId="325" priority="61">
      <formula>$L206="卖出"</formula>
    </cfRule>
  </conditionalFormatting>
  <conditionalFormatting sqref="D206">
    <cfRule type="expression" dxfId="324" priority="60">
      <formula>$L206="卖出"</formula>
    </cfRule>
  </conditionalFormatting>
  <conditionalFormatting sqref="J207:K207 A207 M207">
    <cfRule type="expression" dxfId="323" priority="59">
      <formula>$L207="卖出"</formula>
    </cfRule>
  </conditionalFormatting>
  <conditionalFormatting sqref="H207">
    <cfRule type="expression" dxfId="322" priority="58">
      <formula>$L207="卖出"</formula>
    </cfRule>
  </conditionalFormatting>
  <conditionalFormatting sqref="E207">
    <cfRule type="expression" dxfId="321" priority="57">
      <formula>$L207="卖出"</formula>
    </cfRule>
  </conditionalFormatting>
  <conditionalFormatting sqref="G207">
    <cfRule type="expression" dxfId="320" priority="56">
      <formula>$L207="卖出"</formula>
    </cfRule>
  </conditionalFormatting>
  <conditionalFormatting sqref="I207">
    <cfRule type="expression" dxfId="319" priority="55">
      <formula>$L207="卖出"</formula>
    </cfRule>
  </conditionalFormatting>
  <conditionalFormatting sqref="L207">
    <cfRule type="expression" dxfId="318" priority="54">
      <formula>$L207="卖出"</formula>
    </cfRule>
  </conditionalFormatting>
  <conditionalFormatting sqref="R207">
    <cfRule type="expression" dxfId="317" priority="53">
      <formula>$L207="卖出"</formula>
    </cfRule>
  </conditionalFormatting>
  <conditionalFormatting sqref="B207">
    <cfRule type="expression" dxfId="316" priority="52">
      <formula>$L207="卖出"</formula>
    </cfRule>
  </conditionalFormatting>
  <conditionalFormatting sqref="C207">
    <cfRule type="expression" dxfId="315" priority="50">
      <formula>$L207="卖出"</formula>
    </cfRule>
  </conditionalFormatting>
  <conditionalFormatting sqref="D207">
    <cfRule type="expression" dxfId="314" priority="49">
      <formula>$L207="卖出"</formula>
    </cfRule>
  </conditionalFormatting>
  <conditionalFormatting sqref="F208">
    <cfRule type="expression" dxfId="313" priority="40">
      <formula>$L208="卖出"</formula>
    </cfRule>
  </conditionalFormatting>
  <conditionalFormatting sqref="J208:K208 A208 M208">
    <cfRule type="expression" dxfId="312" priority="48">
      <formula>$L208="卖出"</formula>
    </cfRule>
  </conditionalFormatting>
  <conditionalFormatting sqref="H208">
    <cfRule type="expression" dxfId="311" priority="47">
      <formula>$L208="卖出"</formula>
    </cfRule>
  </conditionalFormatting>
  <conditionalFormatting sqref="E208">
    <cfRule type="expression" dxfId="310" priority="46">
      <formula>$L208="卖出"</formula>
    </cfRule>
  </conditionalFormatting>
  <conditionalFormatting sqref="G208">
    <cfRule type="expression" dxfId="309" priority="45">
      <formula>$L208="卖出"</formula>
    </cfRule>
  </conditionalFormatting>
  <conditionalFormatting sqref="I208">
    <cfRule type="expression" dxfId="308" priority="44">
      <formula>$L208="卖出"</formula>
    </cfRule>
  </conditionalFormatting>
  <conditionalFormatting sqref="L208">
    <cfRule type="expression" dxfId="307" priority="43">
      <formula>$L208="卖出"</formula>
    </cfRule>
  </conditionalFormatting>
  <conditionalFormatting sqref="R208">
    <cfRule type="expression" dxfId="306" priority="42">
      <formula>$L208="卖出"</formula>
    </cfRule>
  </conditionalFormatting>
  <conditionalFormatting sqref="B208">
    <cfRule type="expression" dxfId="305" priority="41">
      <formula>$L208="卖出"</formula>
    </cfRule>
  </conditionalFormatting>
  <conditionalFormatting sqref="C208">
    <cfRule type="expression" dxfId="304" priority="39">
      <formula>$L208="卖出"</formula>
    </cfRule>
  </conditionalFormatting>
  <conditionalFormatting sqref="D208">
    <cfRule type="expression" dxfId="303" priority="38">
      <formula>$L208="卖出"</formula>
    </cfRule>
  </conditionalFormatting>
  <conditionalFormatting sqref="B209">
    <cfRule type="expression" dxfId="302" priority="37">
      <formula>$L209="卖出"</formula>
    </cfRule>
  </conditionalFormatting>
  <conditionalFormatting sqref="D209">
    <cfRule type="expression" dxfId="301" priority="36">
      <formula>$L209="卖出"</formula>
    </cfRule>
  </conditionalFormatting>
  <conditionalFormatting sqref="J209:K209 M209">
    <cfRule type="expression" dxfId="300" priority="35">
      <formula>$L209="卖出"</formula>
    </cfRule>
  </conditionalFormatting>
  <conditionalFormatting sqref="H209">
    <cfRule type="expression" dxfId="299" priority="34">
      <formula>$L209="卖出"</formula>
    </cfRule>
  </conditionalFormatting>
  <conditionalFormatting sqref="G209">
    <cfRule type="expression" dxfId="298" priority="33">
      <formula>$L209="卖出"</formula>
    </cfRule>
  </conditionalFormatting>
  <conditionalFormatting sqref="I209">
    <cfRule type="expression" dxfId="297" priority="32">
      <formula>$L209="卖出"</formula>
    </cfRule>
  </conditionalFormatting>
  <conditionalFormatting sqref="L209">
    <cfRule type="expression" dxfId="296" priority="31">
      <formula>$L209="卖出"</formula>
    </cfRule>
  </conditionalFormatting>
  <conditionalFormatting sqref="R209">
    <cfRule type="expression" dxfId="295" priority="30">
      <formula>$L209="卖出"</formula>
    </cfRule>
  </conditionalFormatting>
  <conditionalFormatting sqref="A210">
    <cfRule type="expression" dxfId="294" priority="29">
      <formula>$L210="卖出"</formula>
    </cfRule>
  </conditionalFormatting>
  <conditionalFormatting sqref="C210 E210">
    <cfRule type="expression" dxfId="293" priority="28">
      <formula>$L210="卖出"</formula>
    </cfRule>
  </conditionalFormatting>
  <conditionalFormatting sqref="B210">
    <cfRule type="expression" dxfId="292" priority="27">
      <formula>$L210="卖出"</formula>
    </cfRule>
  </conditionalFormatting>
  <conditionalFormatting sqref="D210">
    <cfRule type="expression" dxfId="291" priority="26">
      <formula>$L210="卖出"</formula>
    </cfRule>
  </conditionalFormatting>
  <conditionalFormatting sqref="J210:K210 M210">
    <cfRule type="expression" dxfId="290" priority="25">
      <formula>$L210="卖出"</formula>
    </cfRule>
  </conditionalFormatting>
  <conditionalFormatting sqref="H210">
    <cfRule type="expression" dxfId="289" priority="24">
      <formula>$L210="卖出"</formula>
    </cfRule>
  </conditionalFormatting>
  <conditionalFormatting sqref="G210">
    <cfRule type="expression" dxfId="288" priority="23">
      <formula>$L210="卖出"</formula>
    </cfRule>
  </conditionalFormatting>
  <conditionalFormatting sqref="I210">
    <cfRule type="expression" dxfId="287" priority="22">
      <formula>$L210="卖出"</formula>
    </cfRule>
  </conditionalFormatting>
  <conditionalFormatting sqref="L210">
    <cfRule type="expression" dxfId="286" priority="21">
      <formula>$L210="卖出"</formula>
    </cfRule>
  </conditionalFormatting>
  <conditionalFormatting sqref="R210">
    <cfRule type="expression" dxfId="285" priority="20">
      <formula>$L210="卖出"</formula>
    </cfRule>
  </conditionalFormatting>
  <conditionalFormatting sqref="F209">
    <cfRule type="expression" dxfId="284" priority="19">
      <formula>$L209="卖出"</formula>
    </cfRule>
  </conditionalFormatting>
  <conditionalFormatting sqref="F210">
    <cfRule type="expression" dxfId="283" priority="18">
      <formula>$L210="卖出"</formula>
    </cfRule>
  </conditionalFormatting>
  <conditionalFormatting sqref="J203">
    <cfRule type="expression" dxfId="282" priority="14">
      <formula>$L203="卖出"</formula>
    </cfRule>
  </conditionalFormatting>
  <conditionalFormatting sqref="B223:B224">
    <cfRule type="expression" dxfId="281" priority="13">
      <formula>$L223="卖出"</formula>
    </cfRule>
  </conditionalFormatting>
  <conditionalFormatting sqref="L113:M113 I113:J113 R113 A113:G113">
    <cfRule type="expression" dxfId="280" priority="12">
      <formula>$L113="卖出"</formula>
    </cfRule>
  </conditionalFormatting>
  <conditionalFormatting sqref="A167:G167 I167:J167 L167:M167 R167">
    <cfRule type="expression" dxfId="279" priority="11">
      <formula>$L167="卖出"</formula>
    </cfRule>
  </conditionalFormatting>
  <conditionalFormatting sqref="B225">
    <cfRule type="expression" dxfId="278" priority="10">
      <formula>$L225="卖出"</formula>
    </cfRule>
  </conditionalFormatting>
  <conditionalFormatting sqref="A225">
    <cfRule type="expression" dxfId="277" priority="9">
      <formula>$L225="卖出"</formula>
    </cfRule>
  </conditionalFormatting>
  <conditionalFormatting sqref="A199 M199 E199 R199 J199">
    <cfRule type="expression" dxfId="276" priority="8">
      <formula>$L199="卖出"</formula>
    </cfRule>
  </conditionalFormatting>
  <conditionalFormatting sqref="B199">
    <cfRule type="expression" dxfId="275" priority="7">
      <formula>$L199="卖出"</formula>
    </cfRule>
  </conditionalFormatting>
  <conditionalFormatting sqref="D199">
    <cfRule type="expression" dxfId="274" priority="6">
      <formula>$L199="卖出"</formula>
    </cfRule>
  </conditionalFormatting>
  <conditionalFormatting sqref="G199">
    <cfRule type="expression" dxfId="273" priority="5">
      <formula>$L199="卖出"</formula>
    </cfRule>
  </conditionalFormatting>
  <conditionalFormatting sqref="I199">
    <cfRule type="expression" dxfId="272" priority="4">
      <formula>$L199="卖出"</formula>
    </cfRule>
  </conditionalFormatting>
  <conditionalFormatting sqref="L199">
    <cfRule type="expression" dxfId="271" priority="3">
      <formula>$L199="卖出"</formula>
    </cfRule>
  </conditionalFormatting>
  <conditionalFormatting sqref="C199">
    <cfRule type="expression" dxfId="270" priority="2">
      <formula>$L199="卖出"</formula>
    </cfRule>
  </conditionalFormatting>
  <conditionalFormatting sqref="F199">
    <cfRule type="expression" dxfId="269" priority="1">
      <formula>$L199="卖出"</formula>
    </cfRule>
  </conditionalFormatting>
  <dataValidations count="2">
    <dataValidation type="list" allowBlank="1" showInputMessage="1" showErrorMessage="1" sqref="I219 I2:I217" xr:uid="{2BEE1B73-9E30-4833-8EE2-F14FB36734B9}">
      <formula1>"全新,内袋未拆,拆摆,待定"</formula1>
    </dataValidation>
    <dataValidation type="list" allowBlank="1" showInputMessage="1" showErrorMessage="1" sqref="L2:L217" xr:uid="{12152BE3-6311-429D-9C14-D961A2293438}">
      <formula1>"留存,卖出"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6125-B7BB-4E74-BD14-E6C32398C46C}">
  <sheetPr codeName="Sheet6"/>
  <dimension ref="A1:P371"/>
  <sheetViews>
    <sheetView workbookViewId="0">
      <pane ySplit="1" topLeftCell="A14" activePane="bottomLeft" state="frozen"/>
      <selection pane="bottomLeft" activeCell="A38" sqref="A38:XFD38"/>
    </sheetView>
  </sheetViews>
  <sheetFormatPr defaultRowHeight="14.4"/>
  <cols>
    <col min="1" max="1" width="18.6640625" bestFit="1" customWidth="1"/>
    <col min="2" max="2" width="15.6640625" bestFit="1" customWidth="1"/>
    <col min="3" max="3" width="39.109375" bestFit="1" customWidth="1"/>
    <col min="10" max="10" width="10.44140625" style="4" bestFit="1" customWidth="1"/>
    <col min="11" max="11" width="28.88671875" bestFit="1" customWidth="1"/>
    <col min="13" max="13" width="12" bestFit="1" customWidth="1"/>
  </cols>
  <sheetData>
    <row r="1" spans="1:14" ht="16.2">
      <c r="A1" s="9" t="s">
        <v>12</v>
      </c>
      <c r="B1" s="9" t="s">
        <v>31</v>
      </c>
      <c r="C1" s="9" t="s">
        <v>0</v>
      </c>
      <c r="D1" s="9" t="s">
        <v>7</v>
      </c>
      <c r="E1" s="9" t="s">
        <v>2</v>
      </c>
      <c r="F1" s="9" t="s">
        <v>11</v>
      </c>
      <c r="G1" s="9" t="s">
        <v>279</v>
      </c>
      <c r="H1" s="9" t="s">
        <v>3</v>
      </c>
      <c r="I1" s="9" t="s">
        <v>280</v>
      </c>
      <c r="J1" s="9" t="s">
        <v>267</v>
      </c>
      <c r="K1" s="9" t="s">
        <v>22</v>
      </c>
    </row>
    <row r="2" spans="1:14" ht="15.6">
      <c r="A2" s="1" t="s">
        <v>13</v>
      </c>
      <c r="B2" s="1" t="s">
        <v>93</v>
      </c>
      <c r="C2" s="1" t="s">
        <v>224</v>
      </c>
      <c r="D2" s="1" t="s">
        <v>8</v>
      </c>
      <c r="E2" s="6" t="s">
        <v>5</v>
      </c>
      <c r="F2" s="6">
        <v>635</v>
      </c>
      <c r="G2" s="6"/>
      <c r="H2" s="6"/>
      <c r="I2" s="6"/>
      <c r="J2" s="12"/>
      <c r="K2" s="1" t="s">
        <v>249</v>
      </c>
      <c r="L2" s="6"/>
      <c r="M2" s="8" t="s">
        <v>16</v>
      </c>
      <c r="N2" s="8">
        <f>SUM(F:F)</f>
        <v>19048</v>
      </c>
    </row>
    <row r="3" spans="1:14" ht="15.6">
      <c r="A3" s="1" t="s">
        <v>222</v>
      </c>
      <c r="B3" s="1" t="s">
        <v>231</v>
      </c>
      <c r="C3" s="1" t="s">
        <v>223</v>
      </c>
      <c r="D3" s="1" t="s">
        <v>8</v>
      </c>
      <c r="E3" s="6" t="s">
        <v>5</v>
      </c>
      <c r="F3" s="6">
        <v>275</v>
      </c>
      <c r="G3" s="6"/>
      <c r="H3" s="6"/>
      <c r="I3" s="6"/>
      <c r="J3" s="12"/>
      <c r="K3" s="1"/>
      <c r="L3" s="6"/>
      <c r="M3" s="8" t="s">
        <v>17</v>
      </c>
      <c r="N3" s="8">
        <f>SUM(H:H)</f>
        <v>7342</v>
      </c>
    </row>
    <row r="4" spans="1:14" ht="15.6">
      <c r="A4" s="1" t="s">
        <v>13</v>
      </c>
      <c r="B4" s="1" t="s">
        <v>225</v>
      </c>
      <c r="C4" s="1" t="s">
        <v>226</v>
      </c>
      <c r="D4" s="1" t="s">
        <v>8</v>
      </c>
      <c r="E4" s="6" t="s">
        <v>5</v>
      </c>
      <c r="F4" s="6">
        <v>444</v>
      </c>
      <c r="G4" s="6"/>
      <c r="H4" s="6"/>
      <c r="I4" s="6"/>
      <c r="J4" s="12"/>
      <c r="K4" s="1" t="s">
        <v>250</v>
      </c>
      <c r="L4" s="6"/>
      <c r="M4" s="2" t="s">
        <v>281</v>
      </c>
      <c r="N4" s="8">
        <f>SUM(G:G)</f>
        <v>5819</v>
      </c>
    </row>
    <row r="5" spans="1:14" ht="15.6">
      <c r="A5" s="1" t="s">
        <v>13</v>
      </c>
      <c r="B5" s="1" t="s">
        <v>93</v>
      </c>
      <c r="C5" s="1" t="s">
        <v>227</v>
      </c>
      <c r="D5" s="1" t="s">
        <v>8</v>
      </c>
      <c r="E5" s="6" t="s">
        <v>5</v>
      </c>
      <c r="F5" s="6">
        <v>820</v>
      </c>
      <c r="G5" s="6"/>
      <c r="H5" s="6"/>
      <c r="I5" s="6"/>
      <c r="J5" s="12"/>
      <c r="K5" s="1" t="s">
        <v>249</v>
      </c>
      <c r="L5" s="6"/>
      <c r="M5" s="8" t="s">
        <v>280</v>
      </c>
      <c r="N5" s="8">
        <f>SUM(I:I)</f>
        <v>1523</v>
      </c>
    </row>
    <row r="6" spans="1:14" ht="15.6">
      <c r="A6" s="1" t="s">
        <v>13</v>
      </c>
      <c r="B6" s="1" t="s">
        <v>228</v>
      </c>
      <c r="C6" s="1" t="s">
        <v>255</v>
      </c>
      <c r="D6" s="1" t="s">
        <v>8</v>
      </c>
      <c r="E6" s="6" t="s">
        <v>5</v>
      </c>
      <c r="F6" s="6">
        <v>400</v>
      </c>
      <c r="G6" s="6"/>
      <c r="H6" s="6"/>
      <c r="I6" s="6"/>
      <c r="J6" s="12"/>
      <c r="K6" s="1" t="s">
        <v>249</v>
      </c>
      <c r="M6" s="2" t="s">
        <v>267</v>
      </c>
      <c r="N6" s="13">
        <f>ROUND(N5/N3,4)</f>
        <v>0.2074</v>
      </c>
    </row>
    <row r="7" spans="1:14" ht="15.6">
      <c r="A7" s="1" t="s">
        <v>13</v>
      </c>
      <c r="B7" s="1" t="s">
        <v>405</v>
      </c>
      <c r="C7" s="1" t="s">
        <v>229</v>
      </c>
      <c r="D7" s="1" t="s">
        <v>8</v>
      </c>
      <c r="E7" s="6" t="s">
        <v>5</v>
      </c>
      <c r="F7" s="6">
        <v>653</v>
      </c>
      <c r="G7" s="6"/>
      <c r="H7" s="6"/>
      <c r="I7" s="6"/>
      <c r="J7" s="12"/>
      <c r="K7" s="1" t="s">
        <v>251</v>
      </c>
      <c r="M7" s="8" t="s">
        <v>18</v>
      </c>
      <c r="N7" s="8">
        <f>N2-N3</f>
        <v>11706</v>
      </c>
    </row>
    <row r="8" spans="1:14" ht="15.6">
      <c r="A8" s="1" t="s">
        <v>27</v>
      </c>
      <c r="B8" s="1" t="s">
        <v>231</v>
      </c>
      <c r="C8" s="1" t="s">
        <v>232</v>
      </c>
      <c r="D8" s="1" t="s">
        <v>8</v>
      </c>
      <c r="E8" s="6" t="s">
        <v>5</v>
      </c>
      <c r="F8" s="6">
        <v>277</v>
      </c>
      <c r="G8" s="6"/>
      <c r="H8" s="6"/>
      <c r="I8" s="6"/>
      <c r="J8" s="12"/>
      <c r="K8" s="1" t="s">
        <v>249</v>
      </c>
    </row>
    <row r="9" spans="1:14" ht="15.6">
      <c r="A9" s="1" t="s">
        <v>13</v>
      </c>
      <c r="B9" s="1" t="s">
        <v>233</v>
      </c>
      <c r="C9" s="1" t="s">
        <v>234</v>
      </c>
      <c r="D9" s="1" t="s">
        <v>8</v>
      </c>
      <c r="E9" s="6" t="s">
        <v>5</v>
      </c>
      <c r="F9" s="6">
        <v>106</v>
      </c>
      <c r="G9" s="6"/>
      <c r="H9" s="6"/>
      <c r="I9" s="6"/>
      <c r="J9" s="12"/>
      <c r="K9" s="1" t="s">
        <v>249</v>
      </c>
    </row>
    <row r="10" spans="1:14" ht="15.6">
      <c r="A10" s="1" t="s">
        <v>13</v>
      </c>
      <c r="B10" s="1" t="s">
        <v>233</v>
      </c>
      <c r="C10" s="1" t="s">
        <v>235</v>
      </c>
      <c r="D10" s="1" t="s">
        <v>8</v>
      </c>
      <c r="E10" s="6" t="s">
        <v>5</v>
      </c>
      <c r="F10" s="6">
        <v>104</v>
      </c>
      <c r="G10" s="6"/>
      <c r="H10" s="6"/>
      <c r="I10" s="6"/>
      <c r="J10" s="12"/>
      <c r="K10" s="1" t="s">
        <v>249</v>
      </c>
    </row>
    <row r="11" spans="1:14" ht="15.6">
      <c r="A11" s="1" t="s">
        <v>13</v>
      </c>
      <c r="B11" s="1" t="s">
        <v>75</v>
      </c>
      <c r="C11" s="1" t="s">
        <v>236</v>
      </c>
      <c r="D11" s="1" t="s">
        <v>8</v>
      </c>
      <c r="E11" s="6" t="s">
        <v>5</v>
      </c>
      <c r="F11" s="6">
        <v>51</v>
      </c>
      <c r="G11" s="6"/>
      <c r="H11" s="6"/>
      <c r="I11" s="6"/>
      <c r="J11" s="12"/>
      <c r="K11" s="1"/>
    </row>
    <row r="12" spans="1:14" ht="15.6">
      <c r="A12" s="1" t="s">
        <v>13</v>
      </c>
      <c r="B12" s="1" t="s">
        <v>233</v>
      </c>
      <c r="C12" s="1" t="s">
        <v>41</v>
      </c>
      <c r="D12" s="1" t="s">
        <v>8</v>
      </c>
      <c r="E12" s="6" t="s">
        <v>5</v>
      </c>
      <c r="F12" s="6">
        <v>51</v>
      </c>
      <c r="G12" s="6"/>
      <c r="H12" s="6"/>
      <c r="I12" s="6"/>
      <c r="J12" s="12"/>
      <c r="K12" s="1"/>
    </row>
    <row r="13" spans="1:14" ht="15.6">
      <c r="A13" s="1" t="s">
        <v>13</v>
      </c>
      <c r="B13" s="1" t="s">
        <v>75</v>
      </c>
      <c r="C13" s="1" t="s">
        <v>238</v>
      </c>
      <c r="D13" s="1" t="s">
        <v>8</v>
      </c>
      <c r="E13" s="6" t="s">
        <v>5</v>
      </c>
      <c r="F13" s="6">
        <v>51</v>
      </c>
      <c r="G13" s="6"/>
      <c r="H13" s="6"/>
      <c r="I13" s="6"/>
      <c r="J13" s="12"/>
      <c r="K13" s="1"/>
    </row>
    <row r="14" spans="1:14" ht="15.6">
      <c r="A14" s="1" t="s">
        <v>13</v>
      </c>
      <c r="B14" s="1" t="s">
        <v>95</v>
      </c>
      <c r="C14" s="1" t="s">
        <v>240</v>
      </c>
      <c r="D14" s="1" t="s">
        <v>8</v>
      </c>
      <c r="E14" s="6" t="s">
        <v>5</v>
      </c>
      <c r="F14" s="6">
        <v>148</v>
      </c>
      <c r="G14" s="6"/>
      <c r="H14" s="6"/>
      <c r="I14" s="6"/>
      <c r="J14" s="12"/>
      <c r="K14" s="1"/>
    </row>
    <row r="15" spans="1:14" ht="15.6">
      <c r="A15" s="1" t="s">
        <v>13</v>
      </c>
      <c r="B15" s="1" t="s">
        <v>101</v>
      </c>
      <c r="C15" s="1" t="s">
        <v>241</v>
      </c>
      <c r="D15" s="1" t="s">
        <v>8</v>
      </c>
      <c r="E15" s="6" t="s">
        <v>5</v>
      </c>
      <c r="F15" s="6">
        <v>82</v>
      </c>
      <c r="G15" s="6"/>
      <c r="H15" s="6"/>
      <c r="I15" s="6"/>
      <c r="J15" s="12"/>
      <c r="K15" s="1"/>
    </row>
    <row r="16" spans="1:14" ht="15.6">
      <c r="A16" s="1" t="s">
        <v>13</v>
      </c>
      <c r="B16" s="1" t="s">
        <v>77</v>
      </c>
      <c r="C16" s="1" t="s">
        <v>242</v>
      </c>
      <c r="D16" s="1" t="s">
        <v>8</v>
      </c>
      <c r="E16" s="6" t="s">
        <v>5</v>
      </c>
      <c r="F16" s="6">
        <v>194</v>
      </c>
      <c r="G16" s="6"/>
      <c r="H16" s="6"/>
      <c r="I16" s="6"/>
      <c r="J16" s="12"/>
      <c r="K16" s="1"/>
    </row>
    <row r="17" spans="1:11" ht="15.6">
      <c r="A17" s="1" t="s">
        <v>13</v>
      </c>
      <c r="B17" s="1" t="s">
        <v>77</v>
      </c>
      <c r="C17" s="1" t="s">
        <v>245</v>
      </c>
      <c r="D17" s="1" t="s">
        <v>8</v>
      </c>
      <c r="E17" s="6" t="s">
        <v>5</v>
      </c>
      <c r="F17" s="6">
        <v>686</v>
      </c>
      <c r="G17" s="6"/>
      <c r="H17" s="6"/>
      <c r="I17" s="6"/>
      <c r="J17" s="12"/>
      <c r="K17" s="1"/>
    </row>
    <row r="18" spans="1:11" ht="15.6">
      <c r="A18" s="1" t="s">
        <v>13</v>
      </c>
      <c r="B18" s="1" t="s">
        <v>38</v>
      </c>
      <c r="C18" s="1" t="s">
        <v>246</v>
      </c>
      <c r="D18" s="1" t="s">
        <v>8</v>
      </c>
      <c r="E18" s="6" t="s">
        <v>5</v>
      </c>
      <c r="F18" s="6">
        <v>380</v>
      </c>
      <c r="G18" s="6"/>
      <c r="H18" s="6"/>
      <c r="I18" s="6"/>
      <c r="J18" s="12"/>
      <c r="K18" s="1"/>
    </row>
    <row r="19" spans="1:11" ht="15.6">
      <c r="A19" s="1" t="s">
        <v>13</v>
      </c>
      <c r="B19" s="1" t="s">
        <v>38</v>
      </c>
      <c r="C19" s="1" t="s">
        <v>247</v>
      </c>
      <c r="D19" s="1" t="s">
        <v>8</v>
      </c>
      <c r="E19" s="6" t="s">
        <v>5</v>
      </c>
      <c r="F19" s="6">
        <v>312</v>
      </c>
      <c r="G19" s="6"/>
      <c r="H19" s="6"/>
      <c r="I19" s="6"/>
      <c r="J19" s="12"/>
      <c r="K19" s="1"/>
    </row>
    <row r="20" spans="1:11" ht="15.6">
      <c r="A20" s="1" t="s">
        <v>13</v>
      </c>
      <c r="B20" s="1"/>
      <c r="C20" s="1" t="s">
        <v>248</v>
      </c>
      <c r="D20" s="1" t="s">
        <v>8</v>
      </c>
      <c r="E20" s="6" t="s">
        <v>5</v>
      </c>
      <c r="F20" s="6">
        <v>51</v>
      </c>
      <c r="G20" s="6"/>
      <c r="H20" s="6"/>
      <c r="I20" s="6"/>
      <c r="J20" s="12"/>
      <c r="K20" s="1"/>
    </row>
    <row r="21" spans="1:11" ht="15.6">
      <c r="A21" s="1" t="s">
        <v>13</v>
      </c>
      <c r="B21" s="1" t="s">
        <v>405</v>
      </c>
      <c r="C21" s="1" t="s">
        <v>129</v>
      </c>
      <c r="D21" s="1" t="s">
        <v>8</v>
      </c>
      <c r="E21" s="6" t="s">
        <v>5</v>
      </c>
      <c r="F21" s="6">
        <v>709</v>
      </c>
      <c r="G21" s="6"/>
      <c r="H21" s="6"/>
      <c r="I21" s="6"/>
      <c r="J21" s="12"/>
      <c r="K21" s="1" t="s">
        <v>249</v>
      </c>
    </row>
    <row r="22" spans="1:11" ht="15.6">
      <c r="A22" s="1" t="s">
        <v>13</v>
      </c>
      <c r="B22" s="1" t="s">
        <v>96</v>
      </c>
      <c r="C22" s="1" t="s">
        <v>253</v>
      </c>
      <c r="D22" s="1" t="s">
        <v>8</v>
      </c>
      <c r="E22" s="6" t="s">
        <v>5</v>
      </c>
      <c r="F22" s="6">
        <v>1698</v>
      </c>
      <c r="G22" s="6"/>
      <c r="H22" s="6"/>
      <c r="I22" s="6"/>
      <c r="J22" s="12"/>
      <c r="K22" s="1" t="s">
        <v>249</v>
      </c>
    </row>
    <row r="23" spans="1:11" ht="15.6">
      <c r="A23" s="1" t="s">
        <v>260</v>
      </c>
      <c r="B23" s="1" t="s">
        <v>261</v>
      </c>
      <c r="C23" s="1" t="s">
        <v>262</v>
      </c>
      <c r="D23" s="1" t="s">
        <v>8</v>
      </c>
      <c r="E23" s="6" t="s">
        <v>5</v>
      </c>
      <c r="F23" s="6">
        <v>252</v>
      </c>
      <c r="G23" s="6"/>
      <c r="H23" s="6"/>
      <c r="I23" s="6"/>
      <c r="J23" s="12"/>
      <c r="K23" s="1" t="s">
        <v>263</v>
      </c>
    </row>
    <row r="24" spans="1:11" ht="15.6">
      <c r="A24" s="1" t="s">
        <v>13</v>
      </c>
      <c r="B24" s="1" t="s">
        <v>264</v>
      </c>
      <c r="C24" s="1" t="s">
        <v>265</v>
      </c>
      <c r="D24" s="1" t="s">
        <v>8</v>
      </c>
      <c r="E24" s="6" t="s">
        <v>116</v>
      </c>
      <c r="F24" s="6">
        <v>962</v>
      </c>
      <c r="G24" s="6">
        <v>802</v>
      </c>
      <c r="H24" s="6">
        <v>1219</v>
      </c>
      <c r="I24" s="6">
        <f>H24-G24</f>
        <v>417</v>
      </c>
      <c r="J24" s="12">
        <f>I24/G24</f>
        <v>0.51995012468827928</v>
      </c>
      <c r="K24" s="1" t="s">
        <v>266</v>
      </c>
    </row>
    <row r="25" spans="1:11" ht="15.6">
      <c r="A25" s="1" t="s">
        <v>14</v>
      </c>
      <c r="B25" s="1" t="s">
        <v>264</v>
      </c>
      <c r="C25" s="1" t="s">
        <v>65</v>
      </c>
      <c r="D25" s="1" t="s">
        <v>8</v>
      </c>
      <c r="E25" s="6" t="s">
        <v>116</v>
      </c>
      <c r="F25" s="6">
        <v>402</v>
      </c>
      <c r="G25" s="6">
        <v>268</v>
      </c>
      <c r="H25" s="6">
        <v>328</v>
      </c>
      <c r="I25" s="6">
        <f>H25-G25</f>
        <v>60</v>
      </c>
      <c r="J25" s="12">
        <f>I25/G25</f>
        <v>0.22388059701492538</v>
      </c>
      <c r="K25" s="1" t="s">
        <v>952</v>
      </c>
    </row>
    <row r="26" spans="1:11" ht="15.6">
      <c r="A26" s="1" t="s">
        <v>14</v>
      </c>
      <c r="B26" s="1" t="s">
        <v>264</v>
      </c>
      <c r="C26" s="1" t="s">
        <v>173</v>
      </c>
      <c r="D26" s="1" t="s">
        <v>8</v>
      </c>
      <c r="E26" s="6" t="s">
        <v>116</v>
      </c>
      <c r="F26" s="6">
        <v>470</v>
      </c>
      <c r="G26" s="6">
        <v>344</v>
      </c>
      <c r="H26" s="6">
        <v>484</v>
      </c>
      <c r="I26" s="6">
        <f>H26-G26</f>
        <v>140</v>
      </c>
      <c r="J26" s="12">
        <f>I26/G26</f>
        <v>0.40697674418604651</v>
      </c>
      <c r="K26" s="1" t="s">
        <v>953</v>
      </c>
    </row>
    <row r="27" spans="1:11" ht="15.6">
      <c r="A27" s="1" t="s">
        <v>13</v>
      </c>
      <c r="B27" s="1" t="s">
        <v>175</v>
      </c>
      <c r="C27" s="1" t="s">
        <v>268</v>
      </c>
      <c r="D27" s="1" t="s">
        <v>8</v>
      </c>
      <c r="E27" s="6" t="s">
        <v>5</v>
      </c>
      <c r="F27" s="6">
        <v>63</v>
      </c>
      <c r="G27" s="6"/>
      <c r="H27" s="6"/>
      <c r="I27" s="6"/>
      <c r="J27" s="12"/>
      <c r="K27" s="1"/>
    </row>
    <row r="28" spans="1:11" ht="15.6">
      <c r="A28" s="1" t="s">
        <v>13</v>
      </c>
      <c r="B28" s="1" t="s">
        <v>243</v>
      </c>
      <c r="C28" s="1" t="s">
        <v>297</v>
      </c>
      <c r="D28" s="1" t="s">
        <v>8</v>
      </c>
      <c r="E28" s="6" t="s">
        <v>116</v>
      </c>
      <c r="F28" s="6">
        <v>33</v>
      </c>
      <c r="G28" s="6">
        <v>33</v>
      </c>
      <c r="H28" s="6">
        <v>44</v>
      </c>
      <c r="I28" s="6">
        <f>H28-G28</f>
        <v>11</v>
      </c>
      <c r="J28" s="12">
        <f>I28/G28</f>
        <v>0.33333333333333331</v>
      </c>
      <c r="K28" s="1"/>
    </row>
    <row r="29" spans="1:11" ht="15.6">
      <c r="A29" s="1" t="s">
        <v>13</v>
      </c>
      <c r="B29" s="1" t="s">
        <v>233</v>
      </c>
      <c r="C29" s="1" t="s">
        <v>159</v>
      </c>
      <c r="D29" s="1" t="s">
        <v>8</v>
      </c>
      <c r="E29" s="6" t="s">
        <v>116</v>
      </c>
      <c r="F29" s="6">
        <v>39</v>
      </c>
      <c r="G29" s="6">
        <v>39</v>
      </c>
      <c r="H29" s="6">
        <v>59</v>
      </c>
      <c r="I29" s="6">
        <f>H29-G29</f>
        <v>20</v>
      </c>
      <c r="J29" s="12">
        <f>I29/G29</f>
        <v>0.51282051282051277</v>
      </c>
      <c r="K29" s="1"/>
    </row>
    <row r="30" spans="1:11" ht="15.6">
      <c r="A30" s="1" t="s">
        <v>13</v>
      </c>
      <c r="B30" s="1" t="s">
        <v>233</v>
      </c>
      <c r="C30" s="1" t="s">
        <v>301</v>
      </c>
      <c r="D30" s="1" t="s">
        <v>8</v>
      </c>
      <c r="E30" s="6" t="s">
        <v>116</v>
      </c>
      <c r="F30" s="6">
        <v>39</v>
      </c>
      <c r="G30" s="6">
        <v>39</v>
      </c>
      <c r="H30" s="6">
        <v>76</v>
      </c>
      <c r="I30" s="6">
        <f>H30-G30</f>
        <v>37</v>
      </c>
      <c r="J30" s="12">
        <f>I30/G30</f>
        <v>0.94871794871794868</v>
      </c>
      <c r="K30" s="1"/>
    </row>
    <row r="31" spans="1:11" ht="15.6">
      <c r="A31" s="1" t="s">
        <v>13</v>
      </c>
      <c r="B31" s="1" t="s">
        <v>233</v>
      </c>
      <c r="C31" s="1" t="s">
        <v>159</v>
      </c>
      <c r="D31" s="1" t="s">
        <v>8</v>
      </c>
      <c r="E31" s="6" t="s">
        <v>116</v>
      </c>
      <c r="F31" s="6">
        <v>33</v>
      </c>
      <c r="G31" s="6">
        <v>33</v>
      </c>
      <c r="H31" s="6">
        <v>60</v>
      </c>
      <c r="I31" s="6">
        <f>H31-G31</f>
        <v>27</v>
      </c>
      <c r="J31" s="12">
        <f>I31/G31</f>
        <v>0.81818181818181823</v>
      </c>
      <c r="K31" s="1"/>
    </row>
    <row r="32" spans="1:11" ht="15.6">
      <c r="A32" s="1" t="s">
        <v>14</v>
      </c>
      <c r="B32" s="1" t="s">
        <v>264</v>
      </c>
      <c r="C32" s="1" t="s">
        <v>298</v>
      </c>
      <c r="D32" s="1" t="s">
        <v>8</v>
      </c>
      <c r="E32" s="6" t="s">
        <v>5</v>
      </c>
      <c r="F32" s="6">
        <v>81</v>
      </c>
      <c r="G32" s="6"/>
      <c r="H32" s="6"/>
      <c r="I32" s="6"/>
      <c r="J32" s="12"/>
      <c r="K32" s="1"/>
    </row>
    <row r="33" spans="1:16" ht="15.6">
      <c r="A33" s="1" t="s">
        <v>931</v>
      </c>
      <c r="B33" s="1" t="s">
        <v>336</v>
      </c>
      <c r="C33" s="1" t="s">
        <v>337</v>
      </c>
      <c r="D33" s="1" t="s">
        <v>8</v>
      </c>
      <c r="E33" s="6" t="s">
        <v>5</v>
      </c>
      <c r="F33" s="6">
        <v>588</v>
      </c>
      <c r="G33" s="6"/>
      <c r="H33" s="6"/>
      <c r="I33" s="6"/>
      <c r="J33" s="12"/>
      <c r="K33" s="1"/>
    </row>
    <row r="34" spans="1:16" ht="15.6">
      <c r="A34" s="1" t="s">
        <v>693</v>
      </c>
      <c r="B34" s="1" t="s">
        <v>365</v>
      </c>
      <c r="C34" s="1" t="s">
        <v>1236</v>
      </c>
      <c r="D34" s="1" t="s">
        <v>8</v>
      </c>
      <c r="E34" s="6" t="s">
        <v>5</v>
      </c>
      <c r="F34" s="6">
        <v>862</v>
      </c>
      <c r="G34" s="6"/>
      <c r="H34" s="6"/>
      <c r="I34" s="6"/>
      <c r="J34" s="12"/>
      <c r="K34" s="1"/>
    </row>
    <row r="35" spans="1:16" ht="15.6">
      <c r="A35" s="1" t="s">
        <v>330</v>
      </c>
      <c r="B35" s="1" t="s">
        <v>331</v>
      </c>
      <c r="C35" s="1" t="s">
        <v>394</v>
      </c>
      <c r="D35" s="1" t="s">
        <v>8</v>
      </c>
      <c r="E35" s="6" t="s">
        <v>4</v>
      </c>
      <c r="F35" s="6">
        <v>598</v>
      </c>
      <c r="G35" s="6">
        <v>598</v>
      </c>
      <c r="H35" s="6">
        <v>693</v>
      </c>
      <c r="I35" s="6">
        <f>H35-G35</f>
        <v>95</v>
      </c>
      <c r="J35" s="12">
        <f>I35/G35</f>
        <v>0.15886287625418061</v>
      </c>
      <c r="K35" s="1" t="s">
        <v>608</v>
      </c>
    </row>
    <row r="36" spans="1:16" ht="15.6">
      <c r="A36" s="1" t="s">
        <v>330</v>
      </c>
      <c r="B36" s="1" t="s">
        <v>331</v>
      </c>
      <c r="C36" s="1" t="s">
        <v>394</v>
      </c>
      <c r="D36" s="1" t="s">
        <v>8</v>
      </c>
      <c r="E36" s="6" t="s">
        <v>116</v>
      </c>
      <c r="F36" s="6">
        <v>598</v>
      </c>
      <c r="G36" s="6">
        <v>598</v>
      </c>
      <c r="H36" s="6">
        <v>595</v>
      </c>
      <c r="I36" s="6">
        <f>H36-G36</f>
        <v>-3</v>
      </c>
      <c r="J36" s="12">
        <f>I36/G36</f>
        <v>-5.016722408026756E-3</v>
      </c>
      <c r="K36" s="1" t="s">
        <v>608</v>
      </c>
    </row>
    <row r="37" spans="1:16" ht="15.6">
      <c r="A37" s="1" t="s">
        <v>330</v>
      </c>
      <c r="B37" s="1" t="s">
        <v>331</v>
      </c>
      <c r="C37" s="1" t="s">
        <v>394</v>
      </c>
      <c r="D37" s="1" t="s">
        <v>8</v>
      </c>
      <c r="E37" s="6" t="s">
        <v>5</v>
      </c>
      <c r="F37" s="6">
        <v>598</v>
      </c>
      <c r="G37" s="6"/>
      <c r="H37" s="6"/>
      <c r="I37" s="6"/>
      <c r="J37" s="12"/>
      <c r="K37" s="1" t="s">
        <v>440</v>
      </c>
    </row>
    <row r="38" spans="1:16" ht="15.6">
      <c r="A38" s="1" t="s">
        <v>565</v>
      </c>
      <c r="B38" s="1" t="s">
        <v>564</v>
      </c>
      <c r="C38" s="1" t="s">
        <v>566</v>
      </c>
      <c r="D38" s="1" t="s">
        <v>8</v>
      </c>
      <c r="E38" s="6" t="s">
        <v>5</v>
      </c>
      <c r="F38" s="6">
        <v>469</v>
      </c>
      <c r="G38" s="6"/>
      <c r="H38" s="6"/>
      <c r="I38" s="6"/>
      <c r="J38" s="12"/>
      <c r="K38" s="1"/>
    </row>
    <row r="39" spans="1:16" ht="15.6">
      <c r="A39" s="1" t="s">
        <v>600</v>
      </c>
      <c r="B39" s="1" t="s">
        <v>544</v>
      </c>
      <c r="C39" s="1" t="s">
        <v>570</v>
      </c>
      <c r="D39" s="1" t="s">
        <v>8</v>
      </c>
      <c r="E39" s="6" t="s">
        <v>5</v>
      </c>
      <c r="F39" s="6">
        <v>819</v>
      </c>
      <c r="G39" s="6"/>
      <c r="H39" s="6"/>
      <c r="I39" s="6"/>
      <c r="J39" s="12"/>
      <c r="K39" s="1" t="s">
        <v>573</v>
      </c>
    </row>
    <row r="40" spans="1:16" ht="15.6">
      <c r="A40" s="1" t="s">
        <v>586</v>
      </c>
      <c r="B40" s="1" t="s">
        <v>587</v>
      </c>
      <c r="C40" s="1" t="s">
        <v>586</v>
      </c>
      <c r="D40" s="1" t="s">
        <v>8</v>
      </c>
      <c r="E40" s="6" t="s">
        <v>116</v>
      </c>
      <c r="F40" s="6">
        <v>1291</v>
      </c>
      <c r="G40" s="6">
        <v>1291</v>
      </c>
      <c r="H40" s="6">
        <v>1674</v>
      </c>
      <c r="I40" s="6">
        <f>H40-G40</f>
        <v>383</v>
      </c>
      <c r="J40" s="12">
        <f>I40/G40</f>
        <v>0.29666924864446165</v>
      </c>
      <c r="K40" s="1" t="s">
        <v>601</v>
      </c>
    </row>
    <row r="41" spans="1:16" ht="15.6">
      <c r="A41" s="1" t="s">
        <v>684</v>
      </c>
      <c r="B41" s="1" t="s">
        <v>544</v>
      </c>
      <c r="C41" s="1" t="s">
        <v>685</v>
      </c>
      <c r="D41" s="1" t="s">
        <v>8</v>
      </c>
      <c r="E41" s="6" t="s">
        <v>5</v>
      </c>
      <c r="F41" s="6">
        <v>950</v>
      </c>
      <c r="G41" s="6"/>
      <c r="H41" s="6"/>
      <c r="I41" s="6"/>
      <c r="J41" s="12"/>
      <c r="K41" s="1"/>
    </row>
    <row r="42" spans="1:16" ht="15.6">
      <c r="A42" s="1" t="s">
        <v>357</v>
      </c>
      <c r="B42" s="1" t="s">
        <v>358</v>
      </c>
      <c r="C42" s="1" t="s">
        <v>702</v>
      </c>
      <c r="D42" s="1" t="s">
        <v>343</v>
      </c>
      <c r="E42" s="6" t="s">
        <v>116</v>
      </c>
      <c r="F42" s="6">
        <v>155</v>
      </c>
      <c r="G42" s="6">
        <v>155</v>
      </c>
      <c r="H42" s="6">
        <v>168</v>
      </c>
      <c r="I42" s="6">
        <f>H42-G42</f>
        <v>13</v>
      </c>
      <c r="J42" s="12">
        <f>I42/G42</f>
        <v>8.387096774193549E-2</v>
      </c>
      <c r="K42" s="1"/>
      <c r="L42" s="1"/>
      <c r="M42" s="5"/>
      <c r="N42" s="1"/>
      <c r="O42" s="1"/>
      <c r="P42" s="1"/>
    </row>
    <row r="43" spans="1:16" ht="15.6">
      <c r="A43" s="1" t="s">
        <v>357</v>
      </c>
      <c r="B43" s="1" t="s">
        <v>358</v>
      </c>
      <c r="C43" s="1" t="s">
        <v>775</v>
      </c>
      <c r="D43" s="1" t="s">
        <v>343</v>
      </c>
      <c r="E43" s="6" t="s">
        <v>116</v>
      </c>
      <c r="F43" s="6">
        <v>374</v>
      </c>
      <c r="G43" s="6">
        <v>374</v>
      </c>
      <c r="H43" s="6">
        <v>427</v>
      </c>
      <c r="I43" s="6">
        <f>H43-G43</f>
        <v>53</v>
      </c>
      <c r="J43" s="12">
        <f>I43/G43</f>
        <v>0.14171122994652408</v>
      </c>
      <c r="K43" s="1" t="s">
        <v>776</v>
      </c>
    </row>
    <row r="44" spans="1:16" ht="15.6">
      <c r="A44" s="6" t="s">
        <v>781</v>
      </c>
      <c r="B44" s="6" t="s">
        <v>264</v>
      </c>
      <c r="C44" s="6" t="s">
        <v>782</v>
      </c>
      <c r="D44" s="6" t="s">
        <v>8</v>
      </c>
      <c r="E44" s="6" t="s">
        <v>116</v>
      </c>
      <c r="F44" s="6">
        <v>100</v>
      </c>
      <c r="G44" s="1">
        <v>100</v>
      </c>
      <c r="H44" s="1">
        <v>98</v>
      </c>
      <c r="I44" s="6">
        <f>H44-G44</f>
        <v>-2</v>
      </c>
      <c r="J44" s="12">
        <f>I44/G44</f>
        <v>-0.02</v>
      </c>
      <c r="K44" s="1"/>
    </row>
    <row r="45" spans="1:16" ht="15.6">
      <c r="A45" s="6" t="s">
        <v>580</v>
      </c>
      <c r="B45" s="6" t="s">
        <v>803</v>
      </c>
      <c r="C45" s="6" t="s">
        <v>703</v>
      </c>
      <c r="D45" s="6" t="s">
        <v>8</v>
      </c>
      <c r="E45" s="6" t="s">
        <v>116</v>
      </c>
      <c r="F45" s="6">
        <v>595</v>
      </c>
      <c r="G45" s="1">
        <v>595</v>
      </c>
      <c r="H45" s="1">
        <v>662</v>
      </c>
      <c r="I45" s="6">
        <f>H45-G45</f>
        <v>67</v>
      </c>
      <c r="J45" s="12">
        <f>I45/G45</f>
        <v>0.11260504201680673</v>
      </c>
      <c r="K45" s="1"/>
    </row>
    <row r="46" spans="1:16" ht="15.6">
      <c r="A46" s="6" t="s">
        <v>738</v>
      </c>
      <c r="B46" s="6" t="s">
        <v>673</v>
      </c>
      <c r="C46" s="6" t="s">
        <v>737</v>
      </c>
      <c r="D46" s="6" t="s">
        <v>8</v>
      </c>
      <c r="E46" s="6" t="s">
        <v>116</v>
      </c>
      <c r="F46" s="6">
        <v>550</v>
      </c>
      <c r="G46" s="1">
        <v>550</v>
      </c>
      <c r="H46" s="1">
        <v>755</v>
      </c>
      <c r="I46" s="6">
        <f>H46-G46</f>
        <v>205</v>
      </c>
      <c r="J46" s="12">
        <f>I46/G46</f>
        <v>0.37272727272727274</v>
      </c>
      <c r="K46" s="1"/>
    </row>
    <row r="47" spans="1:16" ht="15.6">
      <c r="A47" s="1"/>
      <c r="B47" s="1"/>
      <c r="C47" s="1"/>
      <c r="D47" s="1"/>
      <c r="E47" s="1"/>
      <c r="F47" s="1"/>
      <c r="G47" s="1"/>
      <c r="H47" s="1"/>
      <c r="I47" s="6"/>
      <c r="J47" s="12"/>
      <c r="K47" s="1"/>
    </row>
    <row r="48" spans="1:16" ht="15.6">
      <c r="A48" s="1"/>
      <c r="B48" s="1"/>
      <c r="C48" s="1"/>
      <c r="D48" s="1"/>
      <c r="E48" s="1"/>
      <c r="F48" s="1"/>
      <c r="G48" s="1"/>
      <c r="H48" s="1"/>
      <c r="I48" s="6"/>
      <c r="J48" s="12"/>
      <c r="K48" s="1"/>
    </row>
    <row r="49" spans="1:11" ht="15.6">
      <c r="A49" s="1"/>
      <c r="B49" s="1"/>
      <c r="C49" s="1"/>
      <c r="D49" s="1"/>
      <c r="E49" s="1"/>
      <c r="F49" s="1"/>
      <c r="G49" s="1"/>
      <c r="H49" s="1"/>
      <c r="I49" s="6"/>
      <c r="J49" s="12"/>
      <c r="K49" s="1"/>
    </row>
    <row r="50" spans="1:11" ht="15.6">
      <c r="A50" s="1"/>
      <c r="B50" s="1"/>
      <c r="C50" s="1"/>
      <c r="D50" s="1"/>
      <c r="E50" s="1"/>
      <c r="F50" s="1"/>
      <c r="G50" s="1"/>
      <c r="H50" s="1"/>
      <c r="I50" s="6"/>
      <c r="J50" s="12"/>
      <c r="K50" s="1"/>
    </row>
    <row r="51" spans="1:11" ht="15.6">
      <c r="A51" s="1"/>
      <c r="B51" s="1"/>
      <c r="C51" s="1"/>
      <c r="D51" s="1"/>
      <c r="E51" s="1"/>
      <c r="F51" s="1"/>
      <c r="G51" s="1"/>
      <c r="H51" s="1"/>
      <c r="I51" s="6"/>
      <c r="J51" s="12"/>
      <c r="K51" s="1"/>
    </row>
    <row r="52" spans="1:11" ht="15.6">
      <c r="A52" s="1"/>
      <c r="B52" s="1"/>
      <c r="C52" s="1"/>
      <c r="D52" s="1"/>
      <c r="E52" s="1"/>
      <c r="F52" s="1"/>
      <c r="G52" s="1"/>
      <c r="H52" s="1"/>
      <c r="I52" s="6"/>
      <c r="J52" s="12"/>
      <c r="K52" s="1"/>
    </row>
    <row r="53" spans="1:11" ht="15.6">
      <c r="A53" s="1"/>
      <c r="B53" s="1"/>
      <c r="C53" s="1"/>
      <c r="D53" s="1"/>
      <c r="E53" s="1"/>
      <c r="F53" s="1"/>
      <c r="G53" s="1"/>
      <c r="H53" s="1"/>
      <c r="I53" s="6"/>
      <c r="J53" s="12"/>
      <c r="K53" s="1"/>
    </row>
    <row r="54" spans="1:11" ht="15.6">
      <c r="A54" s="1"/>
      <c r="B54" s="1"/>
      <c r="C54" s="1"/>
      <c r="D54" s="1"/>
      <c r="E54" s="1"/>
      <c r="F54" s="1"/>
      <c r="G54" s="1"/>
      <c r="H54" s="1"/>
      <c r="I54" s="6"/>
      <c r="J54" s="12"/>
      <c r="K54" s="1"/>
    </row>
    <row r="55" spans="1:11" ht="15.6">
      <c r="A55" s="1"/>
      <c r="B55" s="1"/>
      <c r="C55" s="1"/>
      <c r="D55" s="1"/>
      <c r="E55" s="1"/>
      <c r="F55" s="1"/>
      <c r="G55" s="1"/>
      <c r="H55" s="1"/>
      <c r="I55" s="6"/>
      <c r="J55" s="12"/>
      <c r="K55" s="1"/>
    </row>
    <row r="56" spans="1:11" ht="15.6">
      <c r="A56" s="1"/>
      <c r="B56" s="1"/>
      <c r="C56" s="1"/>
      <c r="D56" s="1"/>
      <c r="E56" s="1"/>
      <c r="F56" s="1"/>
      <c r="G56" s="1"/>
      <c r="H56" s="1"/>
      <c r="I56" s="6"/>
      <c r="J56" s="12"/>
      <c r="K56" s="1"/>
    </row>
    <row r="57" spans="1:11" ht="15.6">
      <c r="A57" s="1"/>
      <c r="B57" s="1"/>
      <c r="C57" s="1"/>
      <c r="D57" s="1"/>
      <c r="E57" s="1"/>
      <c r="F57" s="1"/>
      <c r="G57" s="1"/>
      <c r="H57" s="1"/>
      <c r="I57" s="6"/>
      <c r="J57" s="12"/>
      <c r="K57" s="1"/>
    </row>
    <row r="58" spans="1:11" ht="15.6">
      <c r="A58" s="1"/>
      <c r="B58" s="1"/>
      <c r="C58" s="1"/>
      <c r="D58" s="1"/>
      <c r="E58" s="1"/>
      <c r="F58" s="1"/>
      <c r="G58" s="1"/>
      <c r="H58" s="1"/>
      <c r="I58" s="6"/>
      <c r="J58" s="12"/>
      <c r="K58" s="1"/>
    </row>
    <row r="59" spans="1:11" ht="15.6">
      <c r="A59" s="1"/>
      <c r="B59" s="1"/>
      <c r="C59" s="1"/>
      <c r="D59" s="1"/>
      <c r="E59" s="1"/>
      <c r="F59" s="1"/>
      <c r="G59" s="1"/>
      <c r="H59" s="1"/>
      <c r="I59" s="6"/>
      <c r="J59" s="12"/>
      <c r="K59" s="1"/>
    </row>
    <row r="60" spans="1:11" ht="15.6">
      <c r="A60" s="1"/>
      <c r="B60" s="1"/>
      <c r="C60" s="1"/>
      <c r="D60" s="1"/>
      <c r="E60" s="1"/>
      <c r="F60" s="1"/>
      <c r="G60" s="1"/>
      <c r="H60" s="1"/>
      <c r="I60" s="6"/>
      <c r="J60" s="12"/>
      <c r="K60" s="1"/>
    </row>
    <row r="61" spans="1:11" ht="15.6">
      <c r="A61" s="1"/>
      <c r="B61" s="1"/>
      <c r="C61" s="1"/>
      <c r="D61" s="1"/>
      <c r="E61" s="1"/>
      <c r="F61" s="1"/>
      <c r="G61" s="1"/>
      <c r="H61" s="1"/>
      <c r="I61" s="6"/>
      <c r="J61" s="12"/>
      <c r="K61" s="1"/>
    </row>
    <row r="62" spans="1:11" ht="15.6">
      <c r="A62" s="1"/>
      <c r="B62" s="1"/>
      <c r="C62" s="1"/>
      <c r="D62" s="1"/>
      <c r="E62" s="1"/>
      <c r="F62" s="1"/>
      <c r="G62" s="1"/>
      <c r="H62" s="1"/>
      <c r="I62" s="6"/>
      <c r="J62" s="12"/>
      <c r="K62" s="1"/>
    </row>
    <row r="63" spans="1:11" ht="15.6">
      <c r="A63" s="1"/>
      <c r="B63" s="1"/>
      <c r="C63" s="1"/>
      <c r="D63" s="1"/>
      <c r="E63" s="1"/>
      <c r="F63" s="1"/>
      <c r="G63" s="1"/>
      <c r="H63" s="1"/>
      <c r="I63" s="6"/>
      <c r="J63" s="12"/>
      <c r="K63" s="1"/>
    </row>
    <row r="64" spans="1:11" ht="15.6">
      <c r="A64" s="1"/>
      <c r="B64" s="1"/>
      <c r="C64" s="1"/>
      <c r="D64" s="1"/>
      <c r="E64" s="1"/>
      <c r="F64" s="1"/>
      <c r="G64" s="1"/>
      <c r="H64" s="1"/>
      <c r="I64" s="6"/>
      <c r="J64" s="12"/>
      <c r="K64" s="1"/>
    </row>
    <row r="65" spans="1:11" ht="15.6">
      <c r="A65" s="1"/>
      <c r="B65" s="1"/>
      <c r="C65" s="1"/>
      <c r="D65" s="1"/>
      <c r="E65" s="1"/>
      <c r="F65" s="1"/>
      <c r="G65" s="1"/>
      <c r="H65" s="1"/>
      <c r="I65" s="6"/>
      <c r="J65" s="12"/>
      <c r="K65" s="1"/>
    </row>
    <row r="66" spans="1:11" ht="15.6">
      <c r="A66" s="1"/>
      <c r="B66" s="1"/>
      <c r="C66" s="1"/>
      <c r="D66" s="1"/>
      <c r="E66" s="1"/>
      <c r="F66" s="1"/>
      <c r="G66" s="1"/>
      <c r="H66" s="1"/>
      <c r="I66" s="6"/>
      <c r="J66" s="12"/>
      <c r="K66" s="1"/>
    </row>
    <row r="67" spans="1:11" ht="15.6">
      <c r="A67" s="1"/>
      <c r="B67" s="1"/>
      <c r="C67" s="1"/>
      <c r="D67" s="1"/>
      <c r="E67" s="1"/>
      <c r="F67" s="1"/>
      <c r="G67" s="1"/>
      <c r="H67" s="1"/>
      <c r="I67" s="6"/>
      <c r="J67" s="12"/>
      <c r="K67" s="1"/>
    </row>
    <row r="68" spans="1:11" ht="15.6">
      <c r="A68" s="1"/>
      <c r="B68" s="1"/>
      <c r="C68" s="1"/>
      <c r="D68" s="1"/>
      <c r="E68" s="1"/>
      <c r="F68" s="1"/>
      <c r="G68" s="1"/>
      <c r="H68" s="1"/>
      <c r="I68" s="6"/>
      <c r="J68" s="12"/>
      <c r="K68" s="1"/>
    </row>
    <row r="69" spans="1:11" ht="15.6">
      <c r="A69" s="1"/>
      <c r="B69" s="1"/>
      <c r="C69" s="1"/>
      <c r="D69" s="1"/>
      <c r="E69" s="1"/>
      <c r="F69" s="1"/>
      <c r="G69" s="1"/>
      <c r="H69" s="1"/>
      <c r="I69" s="6"/>
      <c r="J69" s="12"/>
      <c r="K69" s="1"/>
    </row>
    <row r="70" spans="1:11" ht="15.6">
      <c r="A70" s="1"/>
      <c r="B70" s="1"/>
      <c r="C70" s="1"/>
      <c r="D70" s="1"/>
      <c r="E70" s="1"/>
      <c r="F70" s="1"/>
      <c r="G70" s="1"/>
      <c r="H70" s="1"/>
      <c r="I70" s="6"/>
      <c r="J70" s="12"/>
      <c r="K70" s="1"/>
    </row>
    <row r="71" spans="1:11" ht="15.6">
      <c r="A71" s="1"/>
      <c r="B71" s="1"/>
      <c r="C71" s="1"/>
      <c r="D71" s="1"/>
      <c r="E71" s="1"/>
      <c r="F71" s="1"/>
      <c r="G71" s="1"/>
      <c r="H71" s="1"/>
      <c r="I71" s="6"/>
      <c r="J71" s="12"/>
      <c r="K71" s="1"/>
    </row>
    <row r="72" spans="1:11" ht="15.6">
      <c r="A72" s="1"/>
      <c r="B72" s="1"/>
      <c r="C72" s="1"/>
      <c r="D72" s="1"/>
      <c r="E72" s="1"/>
      <c r="F72" s="1"/>
      <c r="G72" s="1"/>
      <c r="H72" s="1"/>
      <c r="I72" s="6"/>
      <c r="J72" s="12"/>
      <c r="K72" s="1"/>
    </row>
    <row r="73" spans="1:11" ht="15.6">
      <c r="A73" s="1"/>
      <c r="B73" s="1"/>
      <c r="C73" s="1"/>
      <c r="D73" s="1"/>
      <c r="E73" s="1"/>
      <c r="F73" s="1"/>
      <c r="G73" s="1"/>
      <c r="H73" s="1"/>
      <c r="I73" s="6"/>
      <c r="J73" s="12"/>
      <c r="K73" s="1"/>
    </row>
    <row r="74" spans="1:11" ht="15.6">
      <c r="A74" s="1"/>
      <c r="B74" s="1"/>
      <c r="C74" s="1"/>
      <c r="D74" s="1"/>
      <c r="E74" s="1"/>
      <c r="F74" s="1"/>
      <c r="G74" s="1"/>
      <c r="H74" s="1"/>
      <c r="I74" s="6"/>
      <c r="J74" s="12"/>
      <c r="K74" s="1"/>
    </row>
    <row r="75" spans="1:11" ht="15.6">
      <c r="A75" s="1"/>
      <c r="B75" s="1"/>
      <c r="C75" s="1"/>
      <c r="D75" s="1"/>
      <c r="E75" s="1"/>
      <c r="F75" s="1"/>
      <c r="G75" s="1"/>
      <c r="H75" s="1"/>
      <c r="I75" s="6"/>
      <c r="J75" s="12"/>
      <c r="K75" s="1"/>
    </row>
    <row r="76" spans="1:11" ht="15.6">
      <c r="A76" s="1"/>
      <c r="B76" s="1"/>
      <c r="C76" s="1"/>
      <c r="D76" s="1"/>
      <c r="E76" s="1"/>
      <c r="F76" s="1"/>
      <c r="G76" s="1"/>
      <c r="H76" s="1"/>
      <c r="I76" s="6"/>
      <c r="J76" s="12"/>
      <c r="K76" s="1"/>
    </row>
    <row r="77" spans="1:11" ht="15.6">
      <c r="A77" s="1"/>
      <c r="B77" s="1"/>
      <c r="C77" s="1"/>
      <c r="D77" s="1"/>
      <c r="E77" s="1"/>
      <c r="F77" s="1"/>
      <c r="G77" s="1"/>
      <c r="H77" s="1"/>
      <c r="I77" s="6"/>
      <c r="J77" s="12"/>
      <c r="K77" s="1"/>
    </row>
    <row r="78" spans="1:11" ht="15.6">
      <c r="A78" s="1"/>
      <c r="B78" s="1"/>
      <c r="C78" s="1"/>
      <c r="D78" s="1"/>
      <c r="E78" s="1"/>
      <c r="F78" s="1"/>
      <c r="G78" s="1"/>
      <c r="H78" s="1"/>
      <c r="I78" s="6"/>
      <c r="J78" s="12"/>
      <c r="K78" s="1"/>
    </row>
    <row r="79" spans="1:11" ht="15.6">
      <c r="A79" s="1"/>
      <c r="B79" s="1"/>
      <c r="C79" s="1"/>
      <c r="D79" s="1"/>
      <c r="E79" s="1"/>
      <c r="F79" s="1"/>
      <c r="G79" s="1"/>
      <c r="H79" s="1"/>
      <c r="I79" s="6"/>
      <c r="J79" s="12"/>
      <c r="K79" s="1"/>
    </row>
    <row r="80" spans="1:11" ht="15.6">
      <c r="A80" s="1"/>
      <c r="B80" s="1"/>
      <c r="C80" s="1"/>
      <c r="D80" s="1"/>
      <c r="E80" s="1"/>
      <c r="F80" s="1"/>
      <c r="G80" s="1"/>
      <c r="H80" s="1"/>
      <c r="I80" s="6"/>
      <c r="J80" s="12"/>
      <c r="K80" s="1"/>
    </row>
    <row r="81" spans="1:11" ht="15.6">
      <c r="A81" s="1"/>
      <c r="B81" s="1"/>
      <c r="C81" s="1"/>
      <c r="D81" s="1"/>
      <c r="E81" s="1"/>
      <c r="F81" s="1"/>
      <c r="G81" s="1"/>
      <c r="H81" s="1"/>
      <c r="I81" s="6"/>
      <c r="J81" s="12"/>
      <c r="K81" s="1"/>
    </row>
    <row r="82" spans="1:11" ht="15.6">
      <c r="A82" s="1"/>
      <c r="B82" s="1"/>
      <c r="C82" s="1"/>
      <c r="D82" s="1"/>
      <c r="E82" s="1"/>
      <c r="F82" s="1"/>
      <c r="G82" s="1"/>
      <c r="H82" s="1"/>
      <c r="I82" s="6"/>
      <c r="J82" s="12"/>
      <c r="K82" s="1"/>
    </row>
    <row r="83" spans="1:11" ht="15.6">
      <c r="A83" s="1"/>
      <c r="B83" s="1"/>
      <c r="C83" s="1"/>
      <c r="D83" s="1"/>
      <c r="E83" s="1"/>
      <c r="F83" s="1"/>
      <c r="G83" s="1"/>
      <c r="H83" s="1"/>
      <c r="I83" s="6"/>
      <c r="J83" s="12"/>
      <c r="K83" s="1"/>
    </row>
    <row r="84" spans="1:11" ht="15.6">
      <c r="A84" s="1"/>
      <c r="B84" s="1"/>
      <c r="C84" s="1"/>
      <c r="D84" s="1"/>
      <c r="E84" s="1"/>
      <c r="F84" s="1"/>
      <c r="G84" s="1"/>
      <c r="H84" s="1"/>
      <c r="I84" s="6"/>
      <c r="J84" s="12"/>
      <c r="K84" s="1"/>
    </row>
    <row r="85" spans="1:11" ht="15.6">
      <c r="A85" s="1"/>
      <c r="B85" s="1"/>
      <c r="C85" s="1"/>
      <c r="D85" s="1"/>
      <c r="E85" s="1"/>
      <c r="F85" s="1"/>
      <c r="G85" s="1"/>
      <c r="H85" s="1"/>
      <c r="I85" s="6"/>
      <c r="J85" s="12"/>
      <c r="K85" s="1"/>
    </row>
    <row r="86" spans="1:11" ht="15.6">
      <c r="A86" s="1"/>
      <c r="B86" s="1"/>
      <c r="C86" s="1"/>
      <c r="D86" s="1"/>
      <c r="E86" s="1"/>
      <c r="F86" s="1"/>
      <c r="G86" s="1"/>
      <c r="H86" s="1"/>
      <c r="I86" s="6"/>
      <c r="J86" s="12"/>
      <c r="K86" s="1"/>
    </row>
    <row r="87" spans="1:11" ht="15.6">
      <c r="A87" s="1"/>
      <c r="B87" s="1"/>
      <c r="C87" s="1"/>
      <c r="D87" s="1"/>
      <c r="E87" s="1"/>
      <c r="F87" s="1"/>
      <c r="G87" s="1"/>
      <c r="H87" s="1"/>
      <c r="I87" s="6"/>
      <c r="J87" s="12"/>
      <c r="K87" s="1"/>
    </row>
    <row r="88" spans="1:11" ht="15.6">
      <c r="A88" s="1"/>
      <c r="B88" s="1"/>
      <c r="C88" s="1"/>
      <c r="D88" s="1"/>
      <c r="E88" s="1"/>
      <c r="F88" s="1"/>
      <c r="G88" s="1"/>
      <c r="H88" s="1"/>
      <c r="I88" s="6"/>
      <c r="J88" s="12"/>
      <c r="K88" s="1"/>
    </row>
    <row r="89" spans="1:11" ht="15.6">
      <c r="A89" s="1"/>
      <c r="B89" s="1"/>
      <c r="C89" s="1"/>
      <c r="D89" s="1"/>
      <c r="E89" s="1"/>
      <c r="F89" s="1"/>
      <c r="G89" s="1"/>
      <c r="H89" s="1"/>
      <c r="I89" s="6"/>
      <c r="J89" s="12"/>
      <c r="K89" s="1"/>
    </row>
    <row r="90" spans="1:11" ht="15.6">
      <c r="A90" s="1"/>
      <c r="B90" s="1"/>
      <c r="C90" s="1"/>
      <c r="D90" s="1"/>
      <c r="E90" s="1"/>
      <c r="F90" s="1"/>
      <c r="G90" s="1"/>
      <c r="H90" s="1"/>
      <c r="I90" s="6"/>
      <c r="J90" s="12"/>
      <c r="K90" s="1"/>
    </row>
    <row r="91" spans="1:11" ht="15.6">
      <c r="A91" s="1"/>
      <c r="B91" s="1"/>
      <c r="C91" s="1"/>
      <c r="D91" s="1"/>
      <c r="E91" s="1"/>
      <c r="F91" s="1"/>
      <c r="G91" s="1"/>
      <c r="H91" s="1"/>
      <c r="I91" s="6"/>
      <c r="J91" s="12"/>
      <c r="K91" s="1"/>
    </row>
    <row r="92" spans="1:11" ht="15.6">
      <c r="A92" s="1"/>
      <c r="B92" s="1"/>
      <c r="C92" s="1"/>
      <c r="D92" s="1"/>
      <c r="E92" s="1"/>
      <c r="F92" s="1"/>
      <c r="G92" s="1"/>
      <c r="H92" s="1"/>
      <c r="I92" s="6"/>
      <c r="J92" s="12"/>
      <c r="K92" s="1"/>
    </row>
    <row r="93" spans="1:11" ht="15.6">
      <c r="A93" s="1"/>
      <c r="B93" s="1"/>
      <c r="C93" s="1"/>
      <c r="D93" s="1"/>
      <c r="E93" s="1"/>
      <c r="F93" s="1"/>
      <c r="G93" s="1"/>
      <c r="H93" s="1"/>
      <c r="I93" s="6"/>
      <c r="J93" s="12"/>
      <c r="K93" s="1"/>
    </row>
    <row r="94" spans="1:11" ht="15.6">
      <c r="A94" s="1"/>
      <c r="B94" s="1"/>
      <c r="C94" s="1"/>
      <c r="D94" s="1"/>
      <c r="E94" s="1"/>
      <c r="F94" s="1"/>
      <c r="G94" s="1"/>
      <c r="H94" s="1"/>
      <c r="I94" s="6"/>
      <c r="J94" s="12"/>
      <c r="K94" s="1"/>
    </row>
    <row r="95" spans="1:11" ht="15.6">
      <c r="A95" s="1"/>
      <c r="B95" s="1"/>
      <c r="C95" s="1"/>
      <c r="D95" s="1"/>
      <c r="E95" s="1"/>
      <c r="F95" s="1"/>
      <c r="G95" s="1"/>
      <c r="H95" s="1"/>
      <c r="I95" s="6"/>
      <c r="J95" s="12"/>
      <c r="K95" s="1"/>
    </row>
    <row r="96" spans="1:11" ht="15.6">
      <c r="A96" s="1"/>
      <c r="B96" s="1"/>
      <c r="C96" s="1"/>
      <c r="D96" s="1"/>
      <c r="E96" s="1"/>
      <c r="F96" s="1"/>
      <c r="G96" s="1"/>
      <c r="H96" s="1"/>
      <c r="I96" s="6"/>
      <c r="J96" s="12"/>
      <c r="K96" s="1"/>
    </row>
    <row r="97" spans="1:11" ht="15.6">
      <c r="A97" s="1"/>
      <c r="B97" s="1"/>
      <c r="C97" s="1"/>
      <c r="D97" s="1"/>
      <c r="E97" s="1"/>
      <c r="F97" s="1"/>
      <c r="G97" s="1"/>
      <c r="H97" s="1"/>
      <c r="I97" s="6"/>
      <c r="J97" s="12"/>
      <c r="K97" s="1"/>
    </row>
    <row r="98" spans="1:11" ht="15.6">
      <c r="A98" s="1"/>
      <c r="B98" s="1"/>
      <c r="C98" s="1"/>
      <c r="D98" s="1"/>
      <c r="E98" s="1"/>
      <c r="F98" s="1"/>
      <c r="G98" s="1"/>
      <c r="H98" s="1"/>
      <c r="I98" s="6"/>
      <c r="J98" s="12"/>
      <c r="K98" s="1"/>
    </row>
    <row r="99" spans="1:11" ht="15.6">
      <c r="A99" s="1"/>
      <c r="B99" s="1"/>
      <c r="C99" s="1"/>
      <c r="D99" s="1"/>
      <c r="E99" s="1"/>
      <c r="F99" s="1"/>
      <c r="G99" s="1"/>
      <c r="H99" s="1"/>
      <c r="I99" s="6"/>
      <c r="J99" s="12"/>
      <c r="K99" s="1"/>
    </row>
    <row r="100" spans="1:11" ht="15.6">
      <c r="A100" s="1"/>
      <c r="B100" s="1"/>
      <c r="C100" s="1"/>
      <c r="D100" s="1"/>
      <c r="E100" s="1"/>
      <c r="F100" s="1"/>
      <c r="G100" s="1"/>
      <c r="H100" s="1"/>
      <c r="I100" s="6"/>
      <c r="J100" s="12"/>
      <c r="K100" s="1"/>
    </row>
    <row r="101" spans="1:11" ht="15.6">
      <c r="A101" s="1"/>
      <c r="B101" s="1"/>
      <c r="C101" s="1"/>
      <c r="D101" s="1"/>
      <c r="E101" s="1"/>
      <c r="F101" s="1"/>
      <c r="G101" s="1"/>
      <c r="H101" s="1"/>
      <c r="I101" s="6"/>
      <c r="J101" s="12"/>
      <c r="K101" s="1"/>
    </row>
    <row r="102" spans="1:11" ht="15.6">
      <c r="A102" s="1"/>
      <c r="B102" s="1"/>
      <c r="C102" s="1"/>
      <c r="D102" s="1"/>
      <c r="E102" s="1"/>
      <c r="F102" s="1"/>
      <c r="G102" s="1"/>
      <c r="H102" s="1"/>
      <c r="I102" s="6"/>
      <c r="J102" s="12"/>
      <c r="K102" s="1"/>
    </row>
    <row r="103" spans="1:11" ht="15.6">
      <c r="A103" s="1"/>
      <c r="B103" s="1"/>
      <c r="C103" s="1"/>
      <c r="D103" s="1"/>
      <c r="E103" s="1"/>
      <c r="F103" s="1"/>
      <c r="G103" s="1"/>
      <c r="H103" s="1"/>
      <c r="I103" s="6"/>
      <c r="J103" s="12"/>
      <c r="K103" s="1"/>
    </row>
    <row r="104" spans="1:11" ht="15.6">
      <c r="A104" s="1"/>
      <c r="B104" s="1"/>
      <c r="C104" s="1"/>
      <c r="D104" s="1"/>
      <c r="E104" s="1"/>
      <c r="F104" s="1"/>
      <c r="G104" s="1"/>
      <c r="H104" s="1"/>
      <c r="I104" s="6"/>
      <c r="J104" s="12"/>
      <c r="K104" s="1"/>
    </row>
    <row r="105" spans="1:11" ht="15.6">
      <c r="A105" s="1"/>
      <c r="B105" s="1"/>
      <c r="C105" s="1"/>
      <c r="D105" s="1"/>
      <c r="E105" s="1"/>
      <c r="F105" s="1"/>
      <c r="G105" s="1"/>
      <c r="H105" s="1"/>
      <c r="I105" s="6"/>
      <c r="J105" s="12"/>
      <c r="K105" s="1"/>
    </row>
    <row r="106" spans="1:11" ht="15.6">
      <c r="A106" s="1"/>
      <c r="B106" s="1"/>
      <c r="C106" s="1"/>
      <c r="D106" s="1"/>
      <c r="E106" s="1"/>
      <c r="F106" s="1"/>
      <c r="G106" s="1"/>
      <c r="H106" s="1"/>
      <c r="I106" s="6"/>
      <c r="J106" s="12"/>
      <c r="K106" s="1"/>
    </row>
    <row r="107" spans="1:11" ht="15.6">
      <c r="A107" s="1"/>
      <c r="B107" s="1"/>
      <c r="C107" s="1"/>
      <c r="D107" s="1"/>
      <c r="E107" s="1"/>
      <c r="F107" s="1"/>
      <c r="G107" s="1"/>
      <c r="H107" s="1"/>
      <c r="I107" s="6"/>
      <c r="J107" s="12"/>
      <c r="K107" s="1"/>
    </row>
    <row r="108" spans="1:11" ht="15.6">
      <c r="A108" s="1"/>
      <c r="B108" s="1"/>
      <c r="C108" s="1"/>
      <c r="D108" s="1"/>
      <c r="E108" s="1"/>
      <c r="F108" s="1"/>
      <c r="G108" s="1"/>
      <c r="H108" s="1"/>
      <c r="I108" s="6"/>
      <c r="J108" s="12"/>
      <c r="K108" s="1"/>
    </row>
    <row r="109" spans="1:11" ht="15.6">
      <c r="A109" s="1"/>
      <c r="B109" s="1"/>
      <c r="C109" s="1"/>
      <c r="D109" s="1"/>
      <c r="E109" s="1"/>
      <c r="F109" s="1"/>
      <c r="G109" s="1"/>
      <c r="H109" s="1"/>
      <c r="I109" s="6"/>
      <c r="J109" s="12"/>
      <c r="K109" s="1"/>
    </row>
    <row r="110" spans="1:11" ht="15.6">
      <c r="A110" s="1"/>
      <c r="B110" s="1"/>
      <c r="C110" s="1"/>
      <c r="D110" s="1"/>
      <c r="E110" s="1"/>
      <c r="F110" s="1"/>
      <c r="G110" s="1"/>
      <c r="H110" s="1"/>
      <c r="I110" s="6"/>
      <c r="J110" s="12"/>
      <c r="K110" s="1"/>
    </row>
    <row r="111" spans="1:11" ht="15.6">
      <c r="A111" s="1"/>
      <c r="B111" s="1"/>
      <c r="C111" s="1"/>
      <c r="D111" s="1"/>
      <c r="E111" s="1"/>
      <c r="F111" s="1"/>
      <c r="G111" s="1"/>
      <c r="H111" s="1"/>
      <c r="I111" s="6"/>
      <c r="J111" s="12"/>
      <c r="K111" s="1"/>
    </row>
    <row r="112" spans="1:11" ht="15.6">
      <c r="A112" s="1"/>
      <c r="B112" s="1"/>
      <c r="C112" s="1"/>
      <c r="D112" s="1"/>
      <c r="E112" s="1"/>
      <c r="F112" s="1"/>
      <c r="G112" s="1"/>
      <c r="H112" s="1"/>
      <c r="I112" s="6"/>
      <c r="J112" s="12"/>
      <c r="K112" s="1"/>
    </row>
    <row r="113" spans="1:11" ht="15.6">
      <c r="A113" s="1"/>
      <c r="B113" s="1"/>
      <c r="C113" s="1"/>
      <c r="D113" s="1"/>
      <c r="E113" s="1"/>
      <c r="F113" s="1"/>
      <c r="G113" s="1"/>
      <c r="H113" s="1"/>
      <c r="I113" s="6"/>
      <c r="J113" s="12"/>
      <c r="K113" s="1"/>
    </row>
    <row r="114" spans="1:11" ht="15.6">
      <c r="A114" s="1"/>
      <c r="B114" s="1"/>
      <c r="C114" s="1"/>
      <c r="D114" s="1"/>
      <c r="E114" s="1"/>
      <c r="F114" s="1"/>
      <c r="G114" s="1"/>
      <c r="H114" s="1"/>
      <c r="I114" s="6"/>
      <c r="J114" s="12"/>
      <c r="K114" s="1"/>
    </row>
    <row r="115" spans="1:11" ht="15.6">
      <c r="A115" s="1"/>
      <c r="B115" s="1"/>
      <c r="C115" s="1"/>
      <c r="D115" s="1"/>
      <c r="E115" s="1"/>
      <c r="F115" s="1"/>
      <c r="G115" s="1"/>
      <c r="H115" s="1"/>
      <c r="I115" s="6"/>
      <c r="J115" s="12"/>
      <c r="K115" s="1"/>
    </row>
    <row r="116" spans="1:11" ht="15.6">
      <c r="A116" s="1"/>
      <c r="B116" s="1"/>
      <c r="C116" s="1"/>
      <c r="D116" s="1"/>
      <c r="E116" s="1"/>
      <c r="F116" s="1"/>
      <c r="G116" s="1"/>
      <c r="H116" s="1"/>
      <c r="I116" s="6"/>
      <c r="J116" s="12"/>
      <c r="K116" s="1"/>
    </row>
    <row r="117" spans="1:11" ht="15.6">
      <c r="A117" s="1"/>
      <c r="B117" s="1"/>
      <c r="C117" s="1"/>
      <c r="D117" s="1"/>
      <c r="E117" s="1"/>
      <c r="F117" s="1"/>
      <c r="G117" s="1"/>
      <c r="H117" s="1"/>
      <c r="I117" s="6"/>
      <c r="J117" s="12"/>
      <c r="K117" s="1"/>
    </row>
    <row r="118" spans="1:11" ht="15.6">
      <c r="A118" s="1"/>
      <c r="B118" s="1"/>
      <c r="C118" s="1"/>
      <c r="D118" s="1"/>
      <c r="E118" s="1"/>
      <c r="F118" s="1"/>
      <c r="G118" s="1"/>
      <c r="H118" s="1"/>
      <c r="I118" s="6"/>
      <c r="J118" s="12"/>
      <c r="K118" s="1"/>
    </row>
    <row r="119" spans="1:11" ht="15.6">
      <c r="A119" s="1"/>
      <c r="B119" s="1"/>
      <c r="C119" s="1"/>
      <c r="D119" s="1"/>
      <c r="E119" s="1"/>
      <c r="F119" s="1"/>
      <c r="G119" s="1"/>
      <c r="H119" s="1"/>
      <c r="I119" s="6"/>
      <c r="J119" s="12"/>
      <c r="K119" s="1"/>
    </row>
    <row r="120" spans="1:11" ht="15.6">
      <c r="A120" s="1"/>
      <c r="B120" s="1"/>
      <c r="C120" s="1"/>
      <c r="D120" s="1"/>
      <c r="E120" s="1"/>
      <c r="F120" s="1"/>
      <c r="G120" s="1"/>
      <c r="H120" s="1"/>
      <c r="I120" s="6"/>
      <c r="J120" s="12"/>
      <c r="K120" s="1"/>
    </row>
    <row r="121" spans="1:11" ht="15.6">
      <c r="A121" s="1"/>
      <c r="B121" s="1"/>
      <c r="C121" s="1"/>
      <c r="D121" s="1"/>
      <c r="E121" s="1"/>
      <c r="F121" s="1"/>
      <c r="G121" s="1"/>
      <c r="H121" s="1"/>
      <c r="I121" s="6"/>
      <c r="J121" s="12"/>
      <c r="K121" s="1"/>
    </row>
    <row r="122" spans="1:11" ht="15.6">
      <c r="A122" s="1"/>
      <c r="B122" s="1"/>
      <c r="C122" s="1"/>
      <c r="D122" s="1"/>
      <c r="E122" s="1"/>
      <c r="F122" s="1"/>
      <c r="G122" s="1"/>
      <c r="H122" s="1"/>
      <c r="I122" s="6"/>
      <c r="J122" s="12"/>
      <c r="K122" s="1"/>
    </row>
    <row r="123" spans="1:11" ht="15.6">
      <c r="A123" s="1"/>
      <c r="B123" s="1"/>
      <c r="C123" s="1"/>
      <c r="D123" s="1"/>
      <c r="E123" s="1"/>
      <c r="F123" s="1"/>
      <c r="G123" s="1"/>
      <c r="H123" s="1"/>
      <c r="I123" s="6"/>
      <c r="J123" s="12"/>
      <c r="K123" s="1"/>
    </row>
    <row r="124" spans="1:11" ht="15.6">
      <c r="A124" s="1"/>
      <c r="B124" s="1"/>
      <c r="C124" s="1"/>
      <c r="D124" s="1"/>
      <c r="E124" s="1"/>
      <c r="F124" s="1"/>
      <c r="G124" s="1"/>
      <c r="H124" s="1"/>
      <c r="I124" s="6"/>
      <c r="J124" s="12"/>
      <c r="K124" s="1"/>
    </row>
    <row r="125" spans="1:11" ht="15.6">
      <c r="A125" s="1"/>
      <c r="B125" s="1"/>
      <c r="C125" s="1"/>
      <c r="D125" s="1"/>
      <c r="E125" s="1"/>
      <c r="F125" s="1"/>
      <c r="G125" s="1"/>
      <c r="H125" s="1"/>
      <c r="I125" s="6"/>
      <c r="J125" s="12"/>
      <c r="K125" s="1"/>
    </row>
    <row r="126" spans="1:11" ht="15.6">
      <c r="A126" s="1"/>
      <c r="B126" s="1"/>
      <c r="C126" s="1"/>
      <c r="D126" s="1"/>
      <c r="E126" s="1"/>
      <c r="F126" s="1"/>
      <c r="G126" s="1"/>
      <c r="H126" s="1"/>
      <c r="I126" s="6"/>
      <c r="J126" s="12"/>
      <c r="K126" s="1"/>
    </row>
    <row r="127" spans="1:11" ht="15.6">
      <c r="A127" s="1"/>
      <c r="B127" s="1"/>
      <c r="C127" s="1"/>
      <c r="D127" s="1"/>
      <c r="E127" s="1"/>
      <c r="F127" s="1"/>
      <c r="G127" s="1"/>
      <c r="H127" s="1"/>
      <c r="I127" s="6"/>
      <c r="J127" s="12"/>
      <c r="K127" s="1"/>
    </row>
    <row r="128" spans="1:11" ht="15.6">
      <c r="A128" s="1"/>
      <c r="B128" s="1"/>
      <c r="C128" s="1"/>
      <c r="D128" s="1"/>
      <c r="E128" s="1"/>
      <c r="F128" s="1"/>
      <c r="G128" s="1"/>
      <c r="H128" s="1"/>
      <c r="I128" s="6"/>
      <c r="J128" s="12"/>
      <c r="K128" s="1"/>
    </row>
    <row r="129" spans="1:11" ht="15.6">
      <c r="A129" s="1"/>
      <c r="B129" s="1"/>
      <c r="C129" s="1"/>
      <c r="D129" s="1"/>
      <c r="E129" s="1"/>
      <c r="F129" s="1"/>
      <c r="G129" s="1"/>
      <c r="H129" s="1"/>
      <c r="I129" s="6"/>
      <c r="J129" s="12"/>
      <c r="K129" s="1"/>
    </row>
    <row r="130" spans="1:11" ht="15.6">
      <c r="A130" s="1"/>
      <c r="B130" s="1"/>
      <c r="C130" s="1"/>
      <c r="D130" s="1"/>
      <c r="E130" s="1"/>
      <c r="F130" s="1"/>
      <c r="G130" s="1"/>
      <c r="H130" s="1"/>
      <c r="I130" s="6"/>
      <c r="J130" s="12"/>
      <c r="K130" s="1"/>
    </row>
    <row r="131" spans="1:11" ht="15.6">
      <c r="A131" s="1"/>
      <c r="B131" s="1"/>
      <c r="C131" s="1"/>
      <c r="D131" s="1"/>
      <c r="E131" s="1"/>
      <c r="F131" s="1"/>
      <c r="G131" s="1"/>
      <c r="H131" s="1"/>
      <c r="I131" s="6"/>
      <c r="J131" s="12"/>
      <c r="K131" s="1"/>
    </row>
    <row r="132" spans="1:11" ht="15.6">
      <c r="A132" s="1"/>
      <c r="B132" s="1"/>
      <c r="C132" s="1"/>
      <c r="D132" s="1"/>
      <c r="E132" s="1"/>
      <c r="F132" s="1"/>
      <c r="G132" s="1"/>
      <c r="H132" s="1"/>
      <c r="I132" s="6"/>
      <c r="J132" s="12"/>
      <c r="K132" s="1"/>
    </row>
    <row r="133" spans="1:11" ht="15.6">
      <c r="A133" s="1"/>
      <c r="B133" s="1"/>
      <c r="C133" s="1"/>
      <c r="D133" s="1"/>
      <c r="E133" s="1"/>
      <c r="F133" s="1"/>
      <c r="G133" s="1"/>
      <c r="H133" s="1"/>
      <c r="I133" s="6"/>
      <c r="J133" s="12"/>
      <c r="K133" s="1"/>
    </row>
    <row r="134" spans="1:11" ht="15.6">
      <c r="A134" s="1"/>
      <c r="B134" s="1"/>
      <c r="C134" s="1"/>
      <c r="D134" s="1"/>
      <c r="E134" s="1"/>
      <c r="F134" s="1"/>
      <c r="G134" s="1"/>
      <c r="H134" s="1"/>
      <c r="I134" s="6"/>
      <c r="J134" s="12"/>
      <c r="K134" s="1"/>
    </row>
    <row r="135" spans="1:11" ht="15.6">
      <c r="A135" s="1"/>
      <c r="B135" s="1"/>
      <c r="C135" s="1"/>
      <c r="D135" s="1"/>
      <c r="E135" s="1"/>
      <c r="F135" s="1"/>
      <c r="G135" s="1"/>
      <c r="H135" s="1"/>
      <c r="I135" s="6"/>
      <c r="J135" s="12"/>
      <c r="K135" s="1"/>
    </row>
    <row r="136" spans="1:11" ht="15.6">
      <c r="A136" s="1"/>
      <c r="B136" s="1"/>
      <c r="C136" s="1"/>
      <c r="D136" s="1"/>
      <c r="E136" s="1"/>
      <c r="F136" s="1"/>
      <c r="G136" s="1"/>
      <c r="H136" s="1"/>
      <c r="I136" s="6"/>
      <c r="J136" s="12"/>
      <c r="K136" s="1"/>
    </row>
    <row r="137" spans="1:11" ht="15.6">
      <c r="A137" s="1"/>
      <c r="B137" s="1"/>
      <c r="C137" s="1"/>
      <c r="D137" s="1"/>
      <c r="E137" s="1"/>
      <c r="F137" s="1"/>
      <c r="G137" s="1"/>
      <c r="H137" s="1"/>
      <c r="I137" s="6"/>
      <c r="J137" s="12"/>
      <c r="K137" s="1"/>
    </row>
    <row r="138" spans="1:11" ht="15.6">
      <c r="A138" s="1"/>
      <c r="B138" s="1"/>
      <c r="C138" s="1"/>
      <c r="D138" s="1"/>
      <c r="E138" s="1"/>
      <c r="F138" s="1"/>
      <c r="G138" s="1"/>
      <c r="H138" s="1"/>
      <c r="I138" s="6"/>
      <c r="J138" s="12"/>
      <c r="K138" s="1"/>
    </row>
    <row r="139" spans="1:11" ht="15.6">
      <c r="A139" s="1"/>
      <c r="B139" s="1"/>
      <c r="C139" s="1"/>
      <c r="D139" s="1"/>
      <c r="E139" s="1"/>
      <c r="F139" s="1"/>
      <c r="G139" s="1"/>
      <c r="H139" s="1"/>
      <c r="I139" s="6"/>
      <c r="J139" s="12"/>
      <c r="K139" s="1"/>
    </row>
    <row r="140" spans="1:11" ht="15.6">
      <c r="A140" s="1"/>
      <c r="B140" s="1"/>
      <c r="C140" s="1"/>
      <c r="D140" s="1"/>
      <c r="E140" s="1"/>
      <c r="F140" s="1"/>
      <c r="G140" s="1"/>
      <c r="H140" s="1"/>
      <c r="I140" s="6"/>
      <c r="J140" s="12"/>
      <c r="K140" s="1"/>
    </row>
    <row r="141" spans="1:11" ht="15.6">
      <c r="A141" s="1"/>
      <c r="B141" s="1"/>
      <c r="C141" s="1"/>
      <c r="D141" s="1"/>
      <c r="E141" s="1"/>
      <c r="F141" s="1"/>
      <c r="G141" s="1"/>
      <c r="H141" s="1"/>
      <c r="I141" s="6"/>
      <c r="J141" s="12"/>
      <c r="K141" s="1"/>
    </row>
    <row r="142" spans="1:11" ht="15.6">
      <c r="A142" s="1"/>
      <c r="B142" s="1"/>
      <c r="C142" s="1"/>
      <c r="D142" s="1"/>
      <c r="E142" s="1"/>
      <c r="F142" s="1"/>
      <c r="G142" s="1"/>
      <c r="H142" s="1"/>
      <c r="I142" s="6"/>
      <c r="J142" s="12"/>
      <c r="K142" s="1"/>
    </row>
    <row r="143" spans="1:11" ht="15.6">
      <c r="A143" s="1"/>
      <c r="B143" s="1"/>
      <c r="C143" s="1"/>
      <c r="D143" s="1"/>
      <c r="E143" s="1"/>
      <c r="F143" s="1"/>
      <c r="G143" s="1"/>
      <c r="H143" s="1"/>
      <c r="I143" s="6"/>
      <c r="J143" s="12"/>
      <c r="K143" s="1"/>
    </row>
    <row r="144" spans="1:11" ht="15.6">
      <c r="A144" s="1"/>
      <c r="B144" s="1"/>
      <c r="C144" s="1"/>
      <c r="D144" s="1"/>
      <c r="E144" s="1"/>
      <c r="F144" s="1"/>
      <c r="G144" s="1"/>
      <c r="H144" s="1"/>
      <c r="I144" s="6"/>
      <c r="J144" s="12"/>
      <c r="K144" s="1"/>
    </row>
    <row r="145" spans="1:11" ht="15.6">
      <c r="A145" s="1"/>
      <c r="B145" s="1"/>
      <c r="C145" s="1"/>
      <c r="D145" s="1"/>
      <c r="E145" s="1"/>
      <c r="F145" s="1"/>
      <c r="G145" s="1"/>
      <c r="H145" s="1"/>
      <c r="I145" s="6"/>
      <c r="J145" s="12"/>
      <c r="K145" s="1"/>
    </row>
    <row r="146" spans="1:11" ht="15.6">
      <c r="A146" s="1"/>
      <c r="B146" s="1"/>
      <c r="C146" s="1"/>
      <c r="D146" s="1"/>
      <c r="E146" s="1"/>
      <c r="F146" s="1"/>
      <c r="G146" s="1"/>
      <c r="H146" s="1"/>
      <c r="I146" s="6"/>
      <c r="J146" s="12"/>
      <c r="K146" s="1"/>
    </row>
    <row r="147" spans="1:11" ht="15.6">
      <c r="A147" s="1"/>
      <c r="B147" s="1"/>
      <c r="C147" s="1"/>
      <c r="D147" s="1"/>
      <c r="E147" s="1"/>
      <c r="F147" s="1"/>
      <c r="G147" s="1"/>
      <c r="H147" s="1"/>
      <c r="I147" s="6"/>
      <c r="J147" s="12"/>
      <c r="K147" s="1"/>
    </row>
    <row r="148" spans="1:11" ht="15.6">
      <c r="A148" s="1"/>
      <c r="B148" s="1"/>
      <c r="C148" s="1"/>
      <c r="D148" s="1"/>
      <c r="E148" s="1"/>
      <c r="F148" s="1"/>
      <c r="G148" s="1"/>
      <c r="H148" s="1"/>
      <c r="I148" s="6"/>
      <c r="J148" s="12"/>
      <c r="K148" s="1"/>
    </row>
    <row r="149" spans="1:11" ht="15.6">
      <c r="A149" s="1"/>
      <c r="B149" s="1"/>
      <c r="C149" s="1"/>
      <c r="D149" s="1"/>
      <c r="E149" s="1"/>
      <c r="F149" s="1"/>
      <c r="G149" s="1"/>
      <c r="H149" s="1"/>
      <c r="I149" s="6"/>
      <c r="J149" s="12"/>
      <c r="K149" s="1"/>
    </row>
    <row r="150" spans="1:11" ht="15.6">
      <c r="A150" s="1"/>
      <c r="B150" s="1"/>
      <c r="C150" s="1"/>
      <c r="D150" s="1"/>
      <c r="E150" s="1"/>
      <c r="F150" s="1"/>
      <c r="G150" s="1"/>
      <c r="H150" s="1"/>
      <c r="I150" s="6"/>
      <c r="J150" s="12"/>
      <c r="K150" s="1"/>
    </row>
    <row r="151" spans="1:11" ht="15.6">
      <c r="A151" s="1"/>
      <c r="B151" s="1"/>
      <c r="C151" s="1"/>
      <c r="D151" s="1"/>
      <c r="E151" s="1"/>
      <c r="F151" s="1"/>
      <c r="G151" s="1"/>
      <c r="H151" s="1"/>
      <c r="I151" s="6"/>
      <c r="J151" s="12"/>
      <c r="K151" s="1"/>
    </row>
    <row r="152" spans="1:11" ht="15.6">
      <c r="A152" s="1"/>
      <c r="B152" s="1"/>
      <c r="C152" s="1"/>
      <c r="D152" s="1"/>
      <c r="E152" s="1"/>
      <c r="F152" s="1"/>
      <c r="G152" s="1"/>
      <c r="H152" s="1"/>
      <c r="I152" s="6"/>
      <c r="J152" s="12"/>
      <c r="K152" s="1"/>
    </row>
    <row r="153" spans="1:11" ht="15.6">
      <c r="A153" s="1"/>
      <c r="B153" s="1"/>
      <c r="C153" s="1"/>
      <c r="D153" s="1"/>
      <c r="E153" s="1"/>
      <c r="F153" s="1"/>
      <c r="G153" s="1"/>
      <c r="H153" s="1"/>
      <c r="I153" s="6"/>
      <c r="J153" s="12"/>
      <c r="K153" s="1"/>
    </row>
    <row r="154" spans="1:11" ht="15.6">
      <c r="A154" s="1"/>
      <c r="B154" s="1"/>
      <c r="C154" s="1"/>
      <c r="D154" s="1"/>
      <c r="E154" s="1"/>
      <c r="F154" s="1"/>
      <c r="G154" s="1"/>
      <c r="H154" s="1"/>
      <c r="I154" s="6"/>
      <c r="J154" s="12"/>
      <c r="K154" s="1"/>
    </row>
    <row r="155" spans="1:11" ht="15.6">
      <c r="A155" s="1"/>
      <c r="B155" s="1"/>
      <c r="C155" s="1"/>
      <c r="D155" s="1"/>
      <c r="E155" s="1"/>
      <c r="F155" s="1"/>
      <c r="G155" s="1"/>
      <c r="H155" s="1"/>
      <c r="I155" s="6"/>
      <c r="J155" s="12"/>
      <c r="K155" s="1"/>
    </row>
    <row r="156" spans="1:11" ht="15.6">
      <c r="A156" s="1"/>
      <c r="B156" s="1"/>
      <c r="C156" s="1"/>
      <c r="D156" s="1"/>
      <c r="E156" s="1"/>
      <c r="F156" s="1"/>
      <c r="G156" s="1"/>
      <c r="H156" s="1"/>
      <c r="I156" s="6"/>
      <c r="J156" s="12"/>
      <c r="K156" s="1"/>
    </row>
    <row r="157" spans="1:11" ht="15.6">
      <c r="A157" s="1"/>
      <c r="B157" s="1"/>
      <c r="C157" s="1"/>
      <c r="D157" s="1"/>
      <c r="E157" s="1"/>
      <c r="F157" s="1"/>
      <c r="G157" s="1"/>
      <c r="H157" s="1"/>
      <c r="I157" s="6"/>
      <c r="J157" s="12"/>
      <c r="K157" s="1"/>
    </row>
    <row r="158" spans="1:11" ht="15.6">
      <c r="A158" s="1"/>
      <c r="B158" s="1"/>
      <c r="C158" s="1"/>
      <c r="D158" s="1"/>
      <c r="E158" s="1"/>
      <c r="F158" s="1"/>
      <c r="G158" s="1"/>
      <c r="H158" s="1"/>
      <c r="I158" s="6"/>
      <c r="J158" s="12"/>
      <c r="K158" s="1"/>
    </row>
    <row r="159" spans="1:11" ht="15.6">
      <c r="A159" s="1"/>
      <c r="B159" s="1"/>
      <c r="C159" s="1"/>
      <c r="D159" s="1"/>
      <c r="E159" s="1"/>
      <c r="F159" s="1"/>
      <c r="G159" s="1"/>
      <c r="H159" s="1"/>
      <c r="I159" s="6"/>
      <c r="J159" s="12"/>
      <c r="K159" s="1"/>
    </row>
    <row r="160" spans="1:11" ht="15.6">
      <c r="A160" s="1"/>
      <c r="B160" s="1"/>
      <c r="C160" s="1"/>
      <c r="D160" s="1"/>
      <c r="E160" s="1"/>
      <c r="F160" s="1"/>
      <c r="G160" s="1"/>
      <c r="H160" s="1"/>
      <c r="I160" s="6"/>
      <c r="J160" s="12"/>
      <c r="K160" s="1"/>
    </row>
    <row r="161" spans="1:11" ht="15.6">
      <c r="A161" s="1"/>
      <c r="B161" s="1"/>
      <c r="C161" s="1"/>
      <c r="D161" s="1"/>
      <c r="E161" s="1"/>
      <c r="F161" s="1"/>
      <c r="G161" s="1"/>
      <c r="H161" s="1"/>
      <c r="I161" s="6"/>
      <c r="J161" s="12"/>
      <c r="K161" s="1"/>
    </row>
    <row r="162" spans="1:11" ht="15.6">
      <c r="A162" s="1"/>
      <c r="B162" s="1"/>
      <c r="C162" s="1"/>
      <c r="D162" s="1"/>
      <c r="E162" s="1"/>
      <c r="F162" s="1"/>
      <c r="G162" s="1"/>
      <c r="H162" s="1"/>
      <c r="I162" s="6"/>
      <c r="J162" s="12"/>
      <c r="K162" s="1"/>
    </row>
    <row r="163" spans="1:11" ht="15.6">
      <c r="A163" s="1"/>
      <c r="B163" s="1"/>
      <c r="C163" s="1"/>
      <c r="D163" s="1"/>
      <c r="E163" s="1"/>
      <c r="F163" s="1"/>
      <c r="G163" s="1"/>
      <c r="H163" s="1"/>
      <c r="I163" s="6"/>
      <c r="J163" s="12"/>
      <c r="K163" s="1"/>
    </row>
    <row r="164" spans="1:11" ht="15.6">
      <c r="A164" s="1"/>
      <c r="B164" s="1"/>
      <c r="C164" s="1"/>
      <c r="D164" s="1"/>
      <c r="E164" s="1"/>
      <c r="F164" s="1"/>
      <c r="G164" s="1"/>
      <c r="H164" s="1"/>
      <c r="I164" s="6"/>
      <c r="J164" s="12"/>
      <c r="K164" s="1"/>
    </row>
    <row r="165" spans="1:11" ht="15.6">
      <c r="A165" s="1"/>
      <c r="B165" s="1"/>
      <c r="C165" s="1"/>
      <c r="D165" s="1"/>
      <c r="E165" s="1"/>
      <c r="F165" s="1"/>
      <c r="G165" s="1"/>
      <c r="H165" s="1"/>
      <c r="I165" s="6"/>
      <c r="J165" s="12"/>
      <c r="K165" s="1"/>
    </row>
    <row r="166" spans="1:11" ht="15.6">
      <c r="A166" s="1"/>
      <c r="B166" s="1"/>
      <c r="C166" s="1"/>
      <c r="D166" s="1"/>
      <c r="E166" s="1"/>
      <c r="F166" s="1"/>
      <c r="G166" s="1"/>
      <c r="H166" s="1"/>
      <c r="I166" s="6"/>
      <c r="J166" s="12"/>
      <c r="K166" s="1"/>
    </row>
    <row r="167" spans="1:11" ht="15.6">
      <c r="A167" s="1"/>
      <c r="B167" s="1"/>
      <c r="C167" s="1"/>
      <c r="D167" s="1"/>
      <c r="E167" s="1"/>
      <c r="F167" s="1"/>
      <c r="G167" s="1"/>
      <c r="H167" s="1"/>
      <c r="I167" s="6"/>
      <c r="J167" s="12"/>
      <c r="K167" s="1"/>
    </row>
    <row r="168" spans="1:11" ht="15.6">
      <c r="A168" s="1"/>
      <c r="B168" s="1"/>
      <c r="C168" s="1"/>
      <c r="D168" s="1"/>
      <c r="E168" s="1"/>
      <c r="F168" s="1"/>
      <c r="G168" s="1"/>
      <c r="H168" s="1"/>
      <c r="I168" s="6"/>
      <c r="J168" s="12"/>
      <c r="K168" s="1"/>
    </row>
    <row r="169" spans="1:11" ht="15.6">
      <c r="A169" s="1"/>
      <c r="B169" s="1"/>
      <c r="C169" s="1"/>
      <c r="D169" s="1"/>
      <c r="E169" s="1"/>
      <c r="F169" s="1"/>
      <c r="G169" s="1"/>
      <c r="H169" s="1"/>
      <c r="I169" s="6"/>
      <c r="J169" s="12"/>
      <c r="K169" s="1"/>
    </row>
    <row r="170" spans="1:11" ht="15.6">
      <c r="A170" s="1"/>
      <c r="B170" s="1"/>
      <c r="C170" s="1"/>
      <c r="D170" s="1"/>
      <c r="E170" s="1"/>
      <c r="F170" s="1"/>
      <c r="G170" s="1"/>
      <c r="H170" s="1"/>
      <c r="I170" s="6"/>
      <c r="J170" s="12"/>
      <c r="K170" s="1"/>
    </row>
    <row r="171" spans="1:11" ht="15.6">
      <c r="A171" s="1"/>
      <c r="B171" s="1"/>
      <c r="C171" s="1"/>
      <c r="D171" s="1"/>
      <c r="E171" s="1"/>
      <c r="F171" s="1"/>
      <c r="G171" s="1"/>
      <c r="H171" s="1"/>
      <c r="I171" s="6"/>
      <c r="J171" s="12"/>
      <c r="K171" s="1"/>
    </row>
    <row r="172" spans="1:11" ht="15.6">
      <c r="A172" s="1"/>
      <c r="B172" s="1"/>
      <c r="C172" s="1"/>
      <c r="D172" s="1"/>
      <c r="E172" s="1"/>
      <c r="F172" s="1"/>
      <c r="G172" s="1"/>
      <c r="H172" s="1"/>
      <c r="I172" s="6"/>
      <c r="J172" s="12"/>
      <c r="K172" s="1"/>
    </row>
    <row r="173" spans="1:11" ht="15.6">
      <c r="A173" s="1"/>
      <c r="B173" s="1"/>
      <c r="C173" s="1"/>
      <c r="D173" s="1"/>
      <c r="E173" s="1"/>
      <c r="F173" s="1"/>
      <c r="G173" s="1"/>
      <c r="H173" s="1"/>
      <c r="I173" s="6"/>
      <c r="J173" s="12"/>
      <c r="K173" s="1"/>
    </row>
    <row r="174" spans="1:11" ht="15.6">
      <c r="A174" s="1"/>
      <c r="B174" s="1"/>
      <c r="C174" s="1"/>
      <c r="D174" s="1"/>
      <c r="E174" s="1"/>
      <c r="F174" s="1"/>
      <c r="G174" s="1"/>
      <c r="H174" s="1"/>
      <c r="I174" s="6"/>
      <c r="J174" s="12"/>
      <c r="K174" s="1"/>
    </row>
    <row r="175" spans="1:11" ht="15.6">
      <c r="A175" s="1"/>
      <c r="B175" s="1"/>
      <c r="C175" s="1"/>
      <c r="D175" s="1"/>
      <c r="E175" s="1"/>
      <c r="F175" s="1"/>
      <c r="G175" s="1"/>
      <c r="H175" s="1"/>
      <c r="I175" s="6"/>
      <c r="J175" s="12"/>
      <c r="K175" s="1"/>
    </row>
    <row r="176" spans="1:11" ht="15.6">
      <c r="A176" s="1"/>
      <c r="B176" s="1"/>
      <c r="C176" s="1"/>
      <c r="D176" s="1"/>
      <c r="E176" s="1"/>
      <c r="F176" s="1"/>
      <c r="G176" s="1"/>
      <c r="H176" s="1"/>
      <c r="I176" s="6"/>
      <c r="J176" s="12"/>
      <c r="K176" s="1"/>
    </row>
    <row r="177" spans="1:11" ht="15.6">
      <c r="A177" s="1"/>
      <c r="B177" s="1"/>
      <c r="C177" s="1"/>
      <c r="D177" s="1"/>
      <c r="E177" s="1"/>
      <c r="F177" s="1"/>
      <c r="G177" s="1"/>
      <c r="H177" s="1"/>
      <c r="I177" s="6"/>
      <c r="J177" s="12"/>
      <c r="K177" s="1"/>
    </row>
    <row r="178" spans="1:11" ht="15.6">
      <c r="A178" s="1"/>
      <c r="B178" s="1"/>
      <c r="C178" s="1"/>
      <c r="D178" s="1"/>
      <c r="E178" s="1"/>
      <c r="F178" s="1"/>
      <c r="G178" s="1"/>
      <c r="H178" s="1"/>
      <c r="I178" s="6"/>
      <c r="J178" s="12"/>
      <c r="K178" s="1"/>
    </row>
    <row r="179" spans="1:11" ht="15.6">
      <c r="A179" s="1"/>
      <c r="B179" s="1"/>
      <c r="C179" s="1"/>
      <c r="D179" s="1"/>
      <c r="E179" s="1"/>
      <c r="F179" s="1"/>
      <c r="G179" s="1"/>
      <c r="H179" s="1"/>
      <c r="I179" s="6"/>
      <c r="J179" s="12"/>
      <c r="K179" s="1"/>
    </row>
    <row r="180" spans="1:11" ht="15.6">
      <c r="A180" s="1"/>
      <c r="B180" s="1"/>
      <c r="C180" s="1"/>
      <c r="D180" s="1"/>
      <c r="E180" s="1"/>
      <c r="F180" s="1"/>
      <c r="G180" s="1"/>
      <c r="H180" s="1"/>
      <c r="I180" s="6"/>
      <c r="J180" s="12"/>
      <c r="K180" s="1"/>
    </row>
    <row r="181" spans="1:11" ht="15.6">
      <c r="A181" s="1"/>
      <c r="B181" s="1"/>
      <c r="C181" s="1"/>
      <c r="D181" s="1"/>
      <c r="E181" s="1"/>
      <c r="F181" s="1"/>
      <c r="G181" s="1"/>
      <c r="H181" s="1"/>
      <c r="I181" s="6"/>
      <c r="J181" s="12"/>
      <c r="K181" s="1"/>
    </row>
    <row r="182" spans="1:11" ht="15.6">
      <c r="A182" s="1"/>
      <c r="B182" s="1"/>
      <c r="C182" s="1"/>
      <c r="D182" s="1"/>
      <c r="E182" s="1"/>
      <c r="F182" s="1"/>
      <c r="G182" s="1"/>
      <c r="H182" s="1"/>
      <c r="I182" s="6"/>
      <c r="J182" s="12"/>
      <c r="K182" s="1"/>
    </row>
    <row r="183" spans="1:11" ht="15.6">
      <c r="A183" s="1"/>
      <c r="B183" s="1"/>
      <c r="C183" s="1"/>
      <c r="D183" s="1"/>
      <c r="E183" s="1"/>
      <c r="F183" s="1"/>
      <c r="G183" s="1"/>
      <c r="H183" s="1"/>
      <c r="I183" s="6"/>
      <c r="J183" s="12"/>
      <c r="K183" s="1"/>
    </row>
    <row r="184" spans="1:11" ht="15.6">
      <c r="A184" s="1"/>
      <c r="B184" s="1"/>
      <c r="C184" s="1"/>
      <c r="D184" s="1"/>
      <c r="E184" s="1"/>
      <c r="F184" s="1"/>
      <c r="G184" s="1"/>
      <c r="H184" s="1"/>
      <c r="I184" s="6"/>
      <c r="J184" s="12"/>
      <c r="K184" s="1"/>
    </row>
    <row r="185" spans="1:11" ht="15.6">
      <c r="A185" s="1"/>
      <c r="B185" s="1"/>
      <c r="C185" s="1"/>
      <c r="D185" s="1"/>
      <c r="E185" s="1"/>
      <c r="F185" s="1"/>
      <c r="G185" s="1"/>
      <c r="H185" s="1"/>
      <c r="I185" s="6"/>
      <c r="J185" s="12"/>
      <c r="K185" s="1"/>
    </row>
    <row r="186" spans="1:11" ht="15.6">
      <c r="A186" s="1"/>
      <c r="B186" s="1"/>
      <c r="C186" s="1"/>
      <c r="D186" s="1"/>
      <c r="E186" s="1"/>
      <c r="F186" s="1"/>
      <c r="G186" s="1"/>
      <c r="H186" s="1"/>
      <c r="I186" s="6"/>
      <c r="J186" s="12"/>
      <c r="K186" s="1"/>
    </row>
    <row r="187" spans="1:11" ht="15.6">
      <c r="A187" s="1"/>
      <c r="B187" s="1"/>
      <c r="C187" s="1"/>
      <c r="D187" s="1"/>
      <c r="E187" s="1"/>
      <c r="F187" s="1"/>
      <c r="G187" s="1"/>
      <c r="H187" s="1"/>
      <c r="I187" s="6"/>
      <c r="J187" s="12"/>
      <c r="K187" s="1"/>
    </row>
    <row r="188" spans="1:11" ht="15.6">
      <c r="A188" s="1"/>
      <c r="B188" s="1"/>
      <c r="C188" s="1"/>
      <c r="D188" s="1"/>
      <c r="E188" s="1"/>
      <c r="F188" s="1"/>
      <c r="G188" s="1"/>
      <c r="H188" s="1"/>
      <c r="I188" s="6"/>
      <c r="J188" s="12"/>
      <c r="K188" s="1"/>
    </row>
    <row r="189" spans="1:11" ht="15.6">
      <c r="A189" s="1"/>
      <c r="B189" s="1"/>
      <c r="C189" s="1"/>
      <c r="D189" s="1"/>
      <c r="E189" s="1"/>
      <c r="F189" s="1"/>
      <c r="G189" s="1"/>
      <c r="H189" s="1"/>
      <c r="I189" s="6"/>
      <c r="J189" s="12"/>
      <c r="K189" s="1"/>
    </row>
    <row r="190" spans="1:11" ht="15.6">
      <c r="A190" s="1"/>
      <c r="B190" s="1"/>
      <c r="C190" s="1"/>
      <c r="D190" s="1"/>
      <c r="E190" s="1"/>
      <c r="F190" s="1"/>
      <c r="G190" s="1"/>
      <c r="H190" s="1"/>
      <c r="I190" s="6"/>
      <c r="J190" s="12"/>
      <c r="K190" s="1"/>
    </row>
    <row r="191" spans="1:11" ht="15.6">
      <c r="A191" s="1"/>
      <c r="B191" s="1"/>
      <c r="C191" s="1"/>
      <c r="D191" s="1"/>
      <c r="E191" s="1"/>
      <c r="F191" s="1"/>
      <c r="G191" s="1"/>
      <c r="H191" s="1"/>
      <c r="I191" s="6"/>
      <c r="J191" s="12"/>
      <c r="K191" s="1"/>
    </row>
    <row r="192" spans="1:11" ht="15.6">
      <c r="A192" s="1"/>
      <c r="B192" s="1"/>
      <c r="C192" s="1"/>
      <c r="D192" s="1"/>
      <c r="E192" s="1"/>
      <c r="F192" s="1"/>
      <c r="G192" s="1"/>
      <c r="H192" s="1"/>
      <c r="I192" s="6"/>
      <c r="J192" s="12"/>
      <c r="K192" s="1"/>
    </row>
    <row r="193" spans="1:11" ht="15.6">
      <c r="A193" s="1"/>
      <c r="B193" s="1"/>
      <c r="C193" s="1"/>
      <c r="D193" s="1"/>
      <c r="E193" s="1"/>
      <c r="F193" s="1"/>
      <c r="G193" s="1"/>
      <c r="H193" s="1"/>
      <c r="I193" s="6"/>
      <c r="J193" s="12"/>
      <c r="K193" s="1"/>
    </row>
    <row r="194" spans="1:11" ht="15.6">
      <c r="A194" s="1"/>
      <c r="B194" s="1"/>
      <c r="C194" s="1"/>
      <c r="D194" s="1"/>
      <c r="E194" s="1"/>
      <c r="F194" s="1"/>
      <c r="G194" s="1"/>
      <c r="H194" s="1"/>
      <c r="I194" s="6"/>
      <c r="J194" s="12"/>
      <c r="K194" s="1"/>
    </row>
    <row r="195" spans="1:11" ht="15.6">
      <c r="A195" s="1"/>
      <c r="B195" s="1"/>
      <c r="C195" s="1"/>
      <c r="D195" s="1"/>
      <c r="E195" s="1"/>
      <c r="F195" s="1"/>
      <c r="G195" s="1"/>
      <c r="H195" s="1"/>
      <c r="I195" s="6"/>
      <c r="J195" s="12"/>
      <c r="K195" s="1"/>
    </row>
    <row r="196" spans="1:11" ht="15.6">
      <c r="A196" s="1"/>
      <c r="B196" s="1"/>
      <c r="C196" s="1"/>
      <c r="D196" s="1"/>
      <c r="E196" s="1"/>
      <c r="F196" s="1"/>
      <c r="G196" s="1"/>
      <c r="H196" s="1"/>
      <c r="I196" s="6"/>
      <c r="J196" s="12"/>
      <c r="K196" s="1"/>
    </row>
    <row r="197" spans="1:11" ht="15.6">
      <c r="A197" s="1"/>
      <c r="B197" s="1"/>
      <c r="C197" s="1"/>
      <c r="D197" s="1"/>
      <c r="E197" s="1"/>
      <c r="F197" s="1"/>
      <c r="G197" s="1"/>
      <c r="H197" s="1"/>
      <c r="I197" s="6"/>
      <c r="J197" s="12"/>
      <c r="K197" s="1"/>
    </row>
    <row r="198" spans="1:11" ht="15.6">
      <c r="A198" s="1"/>
      <c r="B198" s="1"/>
      <c r="C198" s="1"/>
      <c r="D198" s="1"/>
      <c r="E198" s="1"/>
      <c r="F198" s="1"/>
      <c r="G198" s="1"/>
      <c r="H198" s="1"/>
      <c r="I198" s="6"/>
      <c r="J198" s="12"/>
      <c r="K198" s="1"/>
    </row>
    <row r="199" spans="1:11" ht="15.6">
      <c r="A199" s="1"/>
      <c r="B199" s="1"/>
      <c r="C199" s="1"/>
      <c r="D199" s="1"/>
      <c r="E199" s="1"/>
      <c r="F199" s="1"/>
      <c r="G199" s="1"/>
      <c r="H199" s="1"/>
      <c r="I199" s="6"/>
      <c r="J199" s="12"/>
      <c r="K199" s="1"/>
    </row>
    <row r="200" spans="1:11" ht="15.6">
      <c r="A200" s="1"/>
      <c r="B200" s="1"/>
      <c r="C200" s="1"/>
      <c r="D200" s="1"/>
      <c r="E200" s="1"/>
      <c r="F200" s="1"/>
      <c r="G200" s="1"/>
      <c r="H200" s="1"/>
      <c r="I200" s="6"/>
      <c r="J200" s="12"/>
      <c r="K200" s="1"/>
    </row>
    <row r="201" spans="1:11" ht="15.6">
      <c r="A201" s="1"/>
      <c r="B201" s="1"/>
      <c r="C201" s="1"/>
      <c r="D201" s="1"/>
      <c r="E201" s="1"/>
      <c r="F201" s="1"/>
      <c r="G201" s="1"/>
      <c r="H201" s="1"/>
      <c r="I201" s="6"/>
      <c r="J201" s="12"/>
      <c r="K201" s="1"/>
    </row>
    <row r="202" spans="1:11" ht="15.6">
      <c r="A202" s="1"/>
      <c r="B202" s="1"/>
      <c r="C202" s="1"/>
      <c r="D202" s="1"/>
      <c r="E202" s="1"/>
      <c r="F202" s="1"/>
      <c r="G202" s="1"/>
      <c r="H202" s="1"/>
      <c r="I202" s="6"/>
      <c r="J202" s="12"/>
      <c r="K202" s="1"/>
    </row>
    <row r="203" spans="1:11" ht="15.6">
      <c r="A203" s="1"/>
      <c r="B203" s="1"/>
      <c r="C203" s="1"/>
      <c r="D203" s="1"/>
      <c r="E203" s="1"/>
      <c r="F203" s="1"/>
      <c r="G203" s="1"/>
      <c r="H203" s="1"/>
      <c r="I203" s="6"/>
      <c r="J203" s="12"/>
      <c r="K203" s="1"/>
    </row>
    <row r="204" spans="1:11" ht="15.6">
      <c r="A204" s="1"/>
      <c r="B204" s="1"/>
      <c r="C204" s="1"/>
      <c r="D204" s="1"/>
      <c r="E204" s="1"/>
      <c r="F204" s="1"/>
      <c r="G204" s="1"/>
      <c r="H204" s="1"/>
      <c r="I204" s="6"/>
      <c r="J204" s="12"/>
      <c r="K204" s="1"/>
    </row>
    <row r="205" spans="1:11" ht="15.6">
      <c r="A205" s="1"/>
      <c r="B205" s="1"/>
      <c r="C205" s="1"/>
      <c r="D205" s="1"/>
      <c r="E205" s="1"/>
      <c r="F205" s="1"/>
      <c r="G205" s="1"/>
      <c r="H205" s="1"/>
      <c r="I205" s="6"/>
      <c r="J205" s="12"/>
      <c r="K205" s="1"/>
    </row>
    <row r="206" spans="1:11" ht="15.6">
      <c r="A206" s="1"/>
      <c r="B206" s="1"/>
      <c r="C206" s="1"/>
      <c r="D206" s="1"/>
      <c r="E206" s="1"/>
      <c r="F206" s="1"/>
      <c r="G206" s="1"/>
      <c r="H206" s="1"/>
      <c r="I206" s="6"/>
      <c r="J206" s="12"/>
      <c r="K206" s="1"/>
    </row>
    <row r="207" spans="1:11" ht="15.6">
      <c r="A207" s="1"/>
      <c r="B207" s="1"/>
      <c r="C207" s="1"/>
      <c r="D207" s="1"/>
      <c r="E207" s="1"/>
      <c r="F207" s="1"/>
      <c r="G207" s="1"/>
      <c r="H207" s="1"/>
      <c r="I207" s="6"/>
      <c r="J207" s="12"/>
      <c r="K207" s="1"/>
    </row>
    <row r="208" spans="1:11" ht="15.6">
      <c r="A208" s="1"/>
      <c r="B208" s="1"/>
      <c r="C208" s="1"/>
      <c r="D208" s="1"/>
      <c r="E208" s="1"/>
      <c r="F208" s="1"/>
      <c r="G208" s="1"/>
      <c r="H208" s="1"/>
      <c r="I208" s="6"/>
      <c r="J208" s="12"/>
      <c r="K208" s="1"/>
    </row>
    <row r="209" spans="1:11" ht="15.6">
      <c r="A209" s="1"/>
      <c r="B209" s="1"/>
      <c r="C209" s="1"/>
      <c r="D209" s="1"/>
      <c r="E209" s="1"/>
      <c r="F209" s="1"/>
      <c r="G209" s="1"/>
      <c r="H209" s="1"/>
      <c r="I209" s="6"/>
      <c r="J209" s="12"/>
      <c r="K209" s="1"/>
    </row>
    <row r="210" spans="1:11" ht="15.6">
      <c r="A210" s="1"/>
      <c r="B210" s="1"/>
      <c r="C210" s="1"/>
      <c r="D210" s="1"/>
      <c r="E210" s="1"/>
      <c r="F210" s="1"/>
      <c r="G210" s="1"/>
      <c r="H210" s="1"/>
      <c r="I210" s="6"/>
      <c r="J210" s="12"/>
      <c r="K210" s="1"/>
    </row>
    <row r="211" spans="1:11" ht="15.6">
      <c r="A211" s="1"/>
      <c r="B211" s="1"/>
      <c r="C211" s="1"/>
      <c r="D211" s="1"/>
      <c r="E211" s="1"/>
      <c r="F211" s="1"/>
      <c r="G211" s="1"/>
      <c r="H211" s="1"/>
      <c r="I211" s="6"/>
      <c r="J211" s="12"/>
      <c r="K211" s="1"/>
    </row>
    <row r="212" spans="1:11" ht="15.6">
      <c r="A212" s="1"/>
      <c r="B212" s="1"/>
      <c r="C212" s="1"/>
      <c r="D212" s="1"/>
      <c r="E212" s="1"/>
      <c r="F212" s="1"/>
      <c r="G212" s="1"/>
      <c r="H212" s="1"/>
      <c r="I212" s="6"/>
      <c r="J212" s="12"/>
      <c r="K212" s="1"/>
    </row>
    <row r="213" spans="1:11" ht="15.6">
      <c r="A213" s="1"/>
      <c r="B213" s="1"/>
      <c r="C213" s="1"/>
      <c r="D213" s="1"/>
      <c r="E213" s="1"/>
      <c r="F213" s="1"/>
      <c r="G213" s="1"/>
      <c r="H213" s="1"/>
      <c r="I213" s="6"/>
      <c r="J213" s="12"/>
      <c r="K213" s="1"/>
    </row>
    <row r="214" spans="1:11" ht="15.6">
      <c r="A214" s="1"/>
      <c r="B214" s="1"/>
      <c r="C214" s="1"/>
      <c r="D214" s="1"/>
      <c r="E214" s="1"/>
      <c r="F214" s="1"/>
      <c r="G214" s="1"/>
      <c r="H214" s="1"/>
      <c r="I214" s="6"/>
      <c r="J214" s="12"/>
      <c r="K214" s="1"/>
    </row>
    <row r="215" spans="1:11" ht="15.6">
      <c r="A215" s="1"/>
      <c r="B215" s="1"/>
      <c r="C215" s="1"/>
      <c r="D215" s="1"/>
      <c r="E215" s="1"/>
      <c r="F215" s="1"/>
      <c r="G215" s="1"/>
      <c r="H215" s="1"/>
      <c r="I215" s="6"/>
      <c r="J215" s="12"/>
      <c r="K215" s="1"/>
    </row>
    <row r="216" spans="1:11" ht="15.6">
      <c r="A216" s="1"/>
      <c r="B216" s="1"/>
      <c r="C216" s="1"/>
      <c r="D216" s="1"/>
      <c r="E216" s="1"/>
      <c r="F216" s="1"/>
      <c r="G216" s="1"/>
      <c r="H216" s="1"/>
      <c r="I216" s="6"/>
      <c r="J216" s="12"/>
      <c r="K216" s="1"/>
    </row>
    <row r="217" spans="1:11" ht="15.6">
      <c r="A217" s="1"/>
      <c r="B217" s="1"/>
      <c r="C217" s="1"/>
      <c r="D217" s="1"/>
      <c r="E217" s="1"/>
      <c r="F217" s="1"/>
      <c r="G217" s="1"/>
      <c r="H217" s="1"/>
      <c r="I217" s="6"/>
      <c r="J217" s="12"/>
      <c r="K217" s="1"/>
    </row>
    <row r="218" spans="1:11" ht="15.6">
      <c r="A218" s="1"/>
      <c r="B218" s="1"/>
      <c r="C218" s="1"/>
      <c r="D218" s="1"/>
      <c r="E218" s="1"/>
      <c r="F218" s="1"/>
      <c r="G218" s="1"/>
      <c r="H218" s="1"/>
      <c r="I218" s="6"/>
      <c r="J218" s="12"/>
      <c r="K218" s="1"/>
    </row>
    <row r="219" spans="1:11" ht="15.6">
      <c r="A219" s="1"/>
      <c r="B219" s="1"/>
      <c r="C219" s="1"/>
      <c r="D219" s="1"/>
      <c r="E219" s="1"/>
      <c r="F219" s="1"/>
      <c r="G219" s="1"/>
      <c r="H219" s="1"/>
      <c r="I219" s="6"/>
      <c r="J219" s="12"/>
      <c r="K219" s="1"/>
    </row>
    <row r="220" spans="1:11" ht="15.6">
      <c r="A220" s="1"/>
      <c r="B220" s="1"/>
      <c r="C220" s="1"/>
      <c r="D220" s="1"/>
      <c r="E220" s="1"/>
      <c r="F220" s="1"/>
      <c r="G220" s="1"/>
      <c r="H220" s="1"/>
      <c r="I220" s="6"/>
      <c r="J220" s="12"/>
      <c r="K220" s="1"/>
    </row>
    <row r="221" spans="1:11" ht="15.6">
      <c r="A221" s="1"/>
      <c r="B221" s="1"/>
      <c r="C221" s="1"/>
      <c r="D221" s="1"/>
      <c r="E221" s="1"/>
      <c r="F221" s="1"/>
      <c r="G221" s="1"/>
      <c r="H221" s="1"/>
      <c r="I221" s="6"/>
      <c r="J221" s="12"/>
      <c r="K221" s="1"/>
    </row>
    <row r="222" spans="1:11" ht="15.6">
      <c r="A222" s="1"/>
      <c r="B222" s="1"/>
      <c r="C222" s="1"/>
      <c r="D222" s="1"/>
      <c r="E222" s="1"/>
      <c r="F222" s="1"/>
      <c r="G222" s="1"/>
      <c r="H222" s="1"/>
      <c r="I222" s="6"/>
      <c r="J222" s="12"/>
      <c r="K222" s="1"/>
    </row>
    <row r="223" spans="1:11" ht="15.6">
      <c r="A223" s="1"/>
      <c r="B223" s="1"/>
      <c r="C223" s="1"/>
      <c r="D223" s="1"/>
      <c r="E223" s="1"/>
      <c r="F223" s="1"/>
      <c r="G223" s="1"/>
      <c r="H223" s="1"/>
      <c r="I223" s="6"/>
      <c r="J223" s="12"/>
      <c r="K223" s="1"/>
    </row>
    <row r="224" spans="1:11" ht="15.6">
      <c r="A224" s="1"/>
      <c r="B224" s="1"/>
      <c r="C224" s="1"/>
      <c r="D224" s="1"/>
      <c r="E224" s="1"/>
      <c r="F224" s="1"/>
      <c r="G224" s="1"/>
      <c r="H224" s="1"/>
      <c r="I224" s="6"/>
      <c r="J224" s="12"/>
      <c r="K224" s="1"/>
    </row>
    <row r="225" spans="1:11" ht="15.6">
      <c r="A225" s="1"/>
      <c r="B225" s="1"/>
      <c r="C225" s="1"/>
      <c r="D225" s="1"/>
      <c r="E225" s="1"/>
      <c r="F225" s="1"/>
      <c r="G225" s="1"/>
      <c r="H225" s="1"/>
      <c r="I225" s="6"/>
      <c r="J225" s="12"/>
      <c r="K225" s="1"/>
    </row>
    <row r="226" spans="1:11" ht="15.6">
      <c r="A226" s="1"/>
      <c r="B226" s="1"/>
      <c r="C226" s="1"/>
      <c r="D226" s="1"/>
      <c r="E226" s="1"/>
      <c r="F226" s="1"/>
      <c r="G226" s="1"/>
      <c r="H226" s="1"/>
      <c r="I226" s="6"/>
      <c r="J226" s="12"/>
      <c r="K226" s="1"/>
    </row>
    <row r="227" spans="1:11" ht="15.6">
      <c r="A227" s="1"/>
      <c r="B227" s="1"/>
      <c r="C227" s="1"/>
      <c r="D227" s="1"/>
      <c r="E227" s="1"/>
      <c r="F227" s="1"/>
      <c r="G227" s="1"/>
      <c r="H227" s="1"/>
      <c r="I227" s="6"/>
      <c r="J227" s="12"/>
      <c r="K227" s="1"/>
    </row>
    <row r="228" spans="1:11" ht="15.6">
      <c r="A228" s="1"/>
      <c r="B228" s="1"/>
      <c r="C228" s="1"/>
      <c r="D228" s="1"/>
      <c r="E228" s="1"/>
      <c r="F228" s="1"/>
      <c r="G228" s="1"/>
      <c r="H228" s="1"/>
      <c r="I228" s="6"/>
      <c r="J228" s="12"/>
      <c r="K228" s="1"/>
    </row>
    <row r="229" spans="1:11" ht="15.6">
      <c r="A229" s="1"/>
      <c r="B229" s="1"/>
      <c r="C229" s="1"/>
      <c r="D229" s="1"/>
      <c r="E229" s="1"/>
      <c r="F229" s="1"/>
      <c r="G229" s="1"/>
      <c r="H229" s="1"/>
      <c r="I229" s="6"/>
      <c r="J229" s="12"/>
      <c r="K229" s="1"/>
    </row>
    <row r="230" spans="1:11" ht="15.6">
      <c r="A230" s="1"/>
      <c r="B230" s="1"/>
      <c r="C230" s="1"/>
      <c r="D230" s="1"/>
      <c r="E230" s="1"/>
      <c r="F230" s="1"/>
      <c r="G230" s="1"/>
      <c r="H230" s="1"/>
      <c r="I230" s="6"/>
      <c r="J230" s="12"/>
      <c r="K230" s="1"/>
    </row>
    <row r="231" spans="1:11" ht="15.6">
      <c r="A231" s="1"/>
      <c r="B231" s="1"/>
      <c r="C231" s="1"/>
      <c r="D231" s="1"/>
      <c r="E231" s="1"/>
      <c r="F231" s="1"/>
      <c r="G231" s="1"/>
      <c r="H231" s="1"/>
      <c r="I231" s="6"/>
      <c r="J231" s="12"/>
      <c r="K231" s="1"/>
    </row>
    <row r="232" spans="1:11" ht="15.6">
      <c r="A232" s="1"/>
      <c r="B232" s="1"/>
      <c r="C232" s="1"/>
      <c r="D232" s="1"/>
      <c r="E232" s="1"/>
      <c r="F232" s="1"/>
      <c r="G232" s="1"/>
      <c r="H232" s="1"/>
      <c r="I232" s="6"/>
      <c r="J232" s="12"/>
      <c r="K232" s="1"/>
    </row>
    <row r="233" spans="1:11" ht="15.6">
      <c r="A233" s="1"/>
      <c r="B233" s="1"/>
      <c r="C233" s="1"/>
      <c r="D233" s="1"/>
      <c r="E233" s="1"/>
      <c r="F233" s="1"/>
      <c r="G233" s="1"/>
      <c r="H233" s="1"/>
      <c r="I233" s="6"/>
      <c r="J233" s="12"/>
      <c r="K233" s="1"/>
    </row>
    <row r="234" spans="1:11" ht="15.6">
      <c r="A234" s="1"/>
      <c r="B234" s="1"/>
      <c r="C234" s="1"/>
      <c r="D234" s="1"/>
      <c r="E234" s="1"/>
      <c r="F234" s="1"/>
      <c r="G234" s="1"/>
      <c r="H234" s="1"/>
      <c r="I234" s="6"/>
      <c r="J234" s="12"/>
      <c r="K234" s="1"/>
    </row>
    <row r="235" spans="1:11" ht="15.6">
      <c r="A235" s="1"/>
      <c r="B235" s="1"/>
      <c r="C235" s="1"/>
      <c r="D235" s="1"/>
      <c r="E235" s="1"/>
      <c r="F235" s="1"/>
      <c r="G235" s="1"/>
      <c r="H235" s="1"/>
      <c r="I235" s="6"/>
      <c r="J235" s="12"/>
      <c r="K235" s="1"/>
    </row>
    <row r="236" spans="1:11" ht="15.6">
      <c r="A236" s="1"/>
      <c r="B236" s="1"/>
      <c r="C236" s="1"/>
      <c r="D236" s="1"/>
      <c r="E236" s="1"/>
      <c r="F236" s="1"/>
      <c r="G236" s="1"/>
      <c r="H236" s="1"/>
      <c r="I236" s="6"/>
      <c r="J236" s="12"/>
      <c r="K236" s="1"/>
    </row>
    <row r="237" spans="1:11" ht="15.6">
      <c r="A237" s="1"/>
      <c r="B237" s="1"/>
      <c r="C237" s="1"/>
      <c r="D237" s="1"/>
      <c r="E237" s="1"/>
      <c r="F237" s="1"/>
      <c r="G237" s="1"/>
      <c r="H237" s="1"/>
      <c r="I237" s="6"/>
      <c r="J237" s="12"/>
      <c r="K237" s="1"/>
    </row>
    <row r="238" spans="1:11" ht="15.6">
      <c r="A238" s="1"/>
      <c r="B238" s="1"/>
      <c r="C238" s="1"/>
      <c r="D238" s="1"/>
      <c r="E238" s="1"/>
      <c r="F238" s="1"/>
      <c r="G238" s="1"/>
      <c r="H238" s="1"/>
      <c r="I238" s="6"/>
      <c r="J238" s="12"/>
      <c r="K238" s="1"/>
    </row>
    <row r="239" spans="1:11" ht="15.6">
      <c r="A239" s="1"/>
      <c r="B239" s="1"/>
      <c r="C239" s="1"/>
      <c r="D239" s="1"/>
      <c r="E239" s="1"/>
      <c r="F239" s="1"/>
      <c r="G239" s="1"/>
      <c r="H239" s="1"/>
      <c r="I239" s="6"/>
      <c r="J239" s="12"/>
      <c r="K239" s="1"/>
    </row>
    <row r="240" spans="1:11" ht="15.6">
      <c r="A240" s="1"/>
      <c r="B240" s="1"/>
      <c r="C240" s="1"/>
      <c r="D240" s="1"/>
      <c r="E240" s="1"/>
      <c r="F240" s="1"/>
      <c r="G240" s="1"/>
      <c r="H240" s="1"/>
      <c r="I240" s="6"/>
      <c r="J240" s="12"/>
      <c r="K240" s="1"/>
    </row>
    <row r="241" spans="1:11" ht="15.6">
      <c r="A241" s="1"/>
      <c r="B241" s="1"/>
      <c r="C241" s="1"/>
      <c r="D241" s="1"/>
      <c r="E241" s="1"/>
      <c r="F241" s="1"/>
      <c r="G241" s="1"/>
      <c r="H241" s="1"/>
      <c r="I241" s="6"/>
      <c r="J241" s="12"/>
      <c r="K241" s="1"/>
    </row>
    <row r="242" spans="1:11" ht="15.6">
      <c r="A242" s="1"/>
      <c r="B242" s="1"/>
      <c r="C242" s="1"/>
      <c r="D242" s="1"/>
      <c r="E242" s="1"/>
      <c r="F242" s="1"/>
      <c r="G242" s="1"/>
      <c r="H242" s="1"/>
      <c r="I242" s="6"/>
      <c r="J242" s="12"/>
      <c r="K242" s="1"/>
    </row>
    <row r="243" spans="1:11" ht="15.6">
      <c r="A243" s="1"/>
      <c r="B243" s="1"/>
      <c r="C243" s="1"/>
      <c r="D243" s="1"/>
      <c r="E243" s="1"/>
      <c r="F243" s="1"/>
      <c r="G243" s="1"/>
      <c r="H243" s="1"/>
      <c r="I243" s="6"/>
      <c r="J243" s="12"/>
      <c r="K243" s="1"/>
    </row>
    <row r="244" spans="1:11" ht="15.6">
      <c r="A244" s="1"/>
      <c r="B244" s="1"/>
      <c r="C244" s="1"/>
      <c r="D244" s="1"/>
      <c r="E244" s="1"/>
      <c r="F244" s="1"/>
      <c r="G244" s="1"/>
      <c r="H244" s="1"/>
      <c r="I244" s="6"/>
      <c r="J244" s="12"/>
      <c r="K244" s="1"/>
    </row>
    <row r="245" spans="1:11" ht="15.6">
      <c r="A245" s="1"/>
      <c r="B245" s="1"/>
      <c r="C245" s="1"/>
      <c r="D245" s="1"/>
      <c r="E245" s="1"/>
      <c r="F245" s="1"/>
      <c r="G245" s="1"/>
      <c r="H245" s="1"/>
      <c r="I245" s="6"/>
      <c r="J245" s="12"/>
      <c r="K245" s="1"/>
    </row>
    <row r="246" spans="1:11" ht="15.6">
      <c r="A246" s="1"/>
      <c r="B246" s="1"/>
      <c r="C246" s="1"/>
      <c r="D246" s="1"/>
      <c r="E246" s="1"/>
      <c r="F246" s="1"/>
      <c r="G246" s="1"/>
      <c r="H246" s="1"/>
      <c r="I246" s="6"/>
      <c r="J246" s="12"/>
      <c r="K246" s="1"/>
    </row>
    <row r="247" spans="1:11" ht="15.6">
      <c r="A247" s="1"/>
      <c r="B247" s="1"/>
      <c r="C247" s="1"/>
      <c r="D247" s="1"/>
      <c r="E247" s="1"/>
      <c r="F247" s="1"/>
      <c r="G247" s="1"/>
      <c r="H247" s="1"/>
      <c r="I247" s="6"/>
      <c r="J247" s="12"/>
      <c r="K247" s="1"/>
    </row>
    <row r="248" spans="1:11" ht="15.6">
      <c r="A248" s="1"/>
      <c r="B248" s="1"/>
      <c r="C248" s="1"/>
      <c r="D248" s="1"/>
      <c r="E248" s="1"/>
      <c r="F248" s="1"/>
      <c r="G248" s="1"/>
      <c r="H248" s="1"/>
      <c r="I248" s="6"/>
      <c r="J248" s="12"/>
      <c r="K248" s="1"/>
    </row>
    <row r="249" spans="1:11" ht="15.6">
      <c r="A249" s="1"/>
      <c r="B249" s="1"/>
      <c r="C249" s="1"/>
      <c r="D249" s="1"/>
      <c r="E249" s="1"/>
      <c r="F249" s="1"/>
      <c r="G249" s="1"/>
      <c r="H249" s="1"/>
      <c r="I249" s="6"/>
      <c r="J249" s="12"/>
      <c r="K249" s="1"/>
    </row>
    <row r="250" spans="1:11" ht="15.6">
      <c r="A250" s="1"/>
      <c r="B250" s="1"/>
      <c r="C250" s="1"/>
      <c r="D250" s="1"/>
      <c r="E250" s="1"/>
      <c r="F250" s="1"/>
      <c r="G250" s="1"/>
      <c r="H250" s="1"/>
      <c r="I250" s="6"/>
      <c r="J250" s="12"/>
      <c r="K250" s="1"/>
    </row>
    <row r="251" spans="1:11" ht="15.6">
      <c r="A251" s="1"/>
      <c r="B251" s="1"/>
      <c r="C251" s="1"/>
      <c r="D251" s="1"/>
      <c r="E251" s="1"/>
      <c r="F251" s="1"/>
      <c r="G251" s="1"/>
      <c r="H251" s="1"/>
      <c r="I251" s="6"/>
      <c r="J251" s="12"/>
      <c r="K251" s="1"/>
    </row>
    <row r="252" spans="1:11" ht="15.6">
      <c r="A252" s="1"/>
      <c r="B252" s="1"/>
      <c r="C252" s="1"/>
      <c r="D252" s="1"/>
      <c r="E252" s="1"/>
      <c r="F252" s="1"/>
      <c r="G252" s="1"/>
      <c r="H252" s="1"/>
      <c r="I252" s="6"/>
      <c r="J252" s="12"/>
      <c r="K252" s="1"/>
    </row>
    <row r="253" spans="1:11" ht="15.6">
      <c r="A253" s="1"/>
      <c r="B253" s="1"/>
      <c r="C253" s="1"/>
      <c r="D253" s="1"/>
      <c r="E253" s="1"/>
      <c r="F253" s="1"/>
      <c r="G253" s="1"/>
      <c r="H253" s="1"/>
      <c r="I253" s="6"/>
      <c r="J253" s="12"/>
      <c r="K253" s="1"/>
    </row>
    <row r="254" spans="1:11" ht="15.6">
      <c r="A254" s="1"/>
      <c r="B254" s="1"/>
      <c r="C254" s="1"/>
      <c r="D254" s="1"/>
      <c r="E254" s="1"/>
      <c r="F254" s="1"/>
      <c r="G254" s="1"/>
      <c r="H254" s="1"/>
      <c r="I254" s="6"/>
      <c r="J254" s="12"/>
      <c r="K254" s="1"/>
    </row>
    <row r="255" spans="1:11" ht="15.6">
      <c r="A255" s="1"/>
      <c r="B255" s="1"/>
      <c r="C255" s="1"/>
      <c r="D255" s="1"/>
      <c r="E255" s="1"/>
      <c r="F255" s="1"/>
      <c r="G255" s="1"/>
      <c r="H255" s="1"/>
      <c r="I255" s="6"/>
      <c r="J255" s="12"/>
      <c r="K255" s="1"/>
    </row>
    <row r="256" spans="1:11" ht="15.6">
      <c r="A256" s="1"/>
      <c r="B256" s="1"/>
      <c r="C256" s="1"/>
      <c r="D256" s="1"/>
      <c r="E256" s="1"/>
      <c r="F256" s="1"/>
      <c r="G256" s="1"/>
      <c r="H256" s="1"/>
      <c r="I256" s="6"/>
      <c r="J256" s="12"/>
      <c r="K256" s="1"/>
    </row>
    <row r="257" spans="1:11" ht="15.6">
      <c r="A257" s="1"/>
      <c r="B257" s="1"/>
      <c r="C257" s="1"/>
      <c r="D257" s="1"/>
      <c r="E257" s="1"/>
      <c r="F257" s="1"/>
      <c r="G257" s="1"/>
      <c r="H257" s="1"/>
      <c r="I257" s="6"/>
      <c r="J257" s="12"/>
      <c r="K257" s="1"/>
    </row>
    <row r="258" spans="1:11" ht="15.6">
      <c r="A258" s="1"/>
      <c r="B258" s="1"/>
      <c r="C258" s="1"/>
      <c r="D258" s="1"/>
      <c r="E258" s="1"/>
      <c r="F258" s="1"/>
      <c r="G258" s="1"/>
      <c r="H258" s="1"/>
      <c r="I258" s="6"/>
      <c r="J258" s="12"/>
      <c r="K258" s="1"/>
    </row>
    <row r="259" spans="1:11" ht="15.6">
      <c r="A259" s="1"/>
      <c r="B259" s="1"/>
      <c r="C259" s="1"/>
      <c r="D259" s="1"/>
      <c r="E259" s="1"/>
      <c r="F259" s="1"/>
      <c r="G259" s="1"/>
      <c r="H259" s="1"/>
      <c r="I259" s="6"/>
      <c r="J259" s="12"/>
      <c r="K259" s="1"/>
    </row>
    <row r="260" spans="1:11" ht="15.6">
      <c r="A260" s="1"/>
      <c r="B260" s="1"/>
      <c r="C260" s="1"/>
      <c r="D260" s="1"/>
      <c r="E260" s="1"/>
      <c r="F260" s="1"/>
      <c r="G260" s="1"/>
      <c r="H260" s="1"/>
      <c r="I260" s="6"/>
      <c r="J260" s="12"/>
      <c r="K260" s="1"/>
    </row>
    <row r="261" spans="1:11" ht="15.6">
      <c r="A261" s="1"/>
      <c r="B261" s="1"/>
      <c r="C261" s="1"/>
      <c r="D261" s="1"/>
      <c r="E261" s="1"/>
      <c r="F261" s="1"/>
      <c r="G261" s="1"/>
      <c r="H261" s="1"/>
      <c r="I261" s="6"/>
      <c r="J261" s="12"/>
      <c r="K261" s="1"/>
    </row>
    <row r="262" spans="1:11" ht="15.6">
      <c r="A262" s="1"/>
      <c r="B262" s="1"/>
      <c r="C262" s="1"/>
      <c r="D262" s="1"/>
      <c r="E262" s="1"/>
      <c r="F262" s="1"/>
      <c r="G262" s="1"/>
      <c r="H262" s="1"/>
      <c r="I262" s="6"/>
      <c r="J262" s="12"/>
      <c r="K262" s="1"/>
    </row>
    <row r="263" spans="1:11" ht="15.6">
      <c r="A263" s="1"/>
      <c r="B263" s="1"/>
      <c r="C263" s="1"/>
      <c r="D263" s="1"/>
      <c r="E263" s="1"/>
      <c r="F263" s="1"/>
      <c r="G263" s="1"/>
      <c r="H263" s="1"/>
      <c r="I263" s="6"/>
      <c r="J263" s="12"/>
      <c r="K263" s="1"/>
    </row>
    <row r="264" spans="1:11" ht="15.6">
      <c r="A264" s="1"/>
      <c r="B264" s="1"/>
      <c r="C264" s="1"/>
      <c r="D264" s="1"/>
      <c r="E264" s="1"/>
      <c r="F264" s="1"/>
      <c r="G264" s="1"/>
      <c r="H264" s="1"/>
      <c r="I264" s="6"/>
      <c r="J264" s="12"/>
      <c r="K264" s="1"/>
    </row>
    <row r="265" spans="1:11" ht="15.6">
      <c r="A265" s="1"/>
      <c r="B265" s="1"/>
      <c r="C265" s="1"/>
      <c r="D265" s="1"/>
      <c r="E265" s="1"/>
      <c r="F265" s="1"/>
      <c r="G265" s="1"/>
      <c r="H265" s="1"/>
      <c r="I265" s="6"/>
      <c r="J265" s="12"/>
      <c r="K265" s="1"/>
    </row>
    <row r="266" spans="1:11" ht="15.6">
      <c r="A266" s="1"/>
      <c r="B266" s="1"/>
      <c r="C266" s="1"/>
      <c r="D266" s="1"/>
      <c r="E266" s="1"/>
      <c r="F266" s="1"/>
      <c r="G266" s="1"/>
      <c r="H266" s="1"/>
      <c r="I266" s="6"/>
      <c r="J266" s="12"/>
      <c r="K266" s="1"/>
    </row>
    <row r="267" spans="1:11" ht="15.6">
      <c r="A267" s="1"/>
      <c r="B267" s="1"/>
      <c r="C267" s="1"/>
      <c r="D267" s="1"/>
      <c r="E267" s="1"/>
      <c r="F267" s="1"/>
      <c r="G267" s="1"/>
      <c r="H267" s="1"/>
      <c r="I267" s="6"/>
      <c r="J267" s="12"/>
      <c r="K267" s="1"/>
    </row>
    <row r="268" spans="1:11" ht="15.6">
      <c r="A268" s="1"/>
      <c r="B268" s="1"/>
      <c r="C268" s="1"/>
      <c r="D268" s="1"/>
      <c r="E268" s="1"/>
      <c r="F268" s="1"/>
      <c r="G268" s="1"/>
      <c r="H268" s="1"/>
      <c r="I268" s="6"/>
      <c r="J268" s="12"/>
      <c r="K268" s="1"/>
    </row>
    <row r="269" spans="1:11" ht="15.6">
      <c r="A269" s="1"/>
      <c r="B269" s="1"/>
      <c r="C269" s="1"/>
      <c r="D269" s="1"/>
      <c r="E269" s="1"/>
      <c r="F269" s="1"/>
      <c r="G269" s="1"/>
      <c r="H269" s="1"/>
      <c r="I269" s="6"/>
      <c r="J269" s="12"/>
      <c r="K269" s="1"/>
    </row>
    <row r="270" spans="1:11" ht="15.6">
      <c r="A270" s="1"/>
      <c r="B270" s="1"/>
      <c r="C270" s="1"/>
      <c r="D270" s="1"/>
      <c r="E270" s="1"/>
      <c r="F270" s="1"/>
      <c r="G270" s="1"/>
      <c r="H270" s="1"/>
      <c r="I270" s="6"/>
      <c r="J270" s="12"/>
      <c r="K270" s="1"/>
    </row>
    <row r="271" spans="1:11" ht="15.6">
      <c r="A271" s="1"/>
      <c r="B271" s="1"/>
      <c r="C271" s="1"/>
      <c r="D271" s="1"/>
      <c r="E271" s="1"/>
      <c r="F271" s="1"/>
      <c r="G271" s="1"/>
      <c r="H271" s="1"/>
      <c r="I271" s="6"/>
      <c r="J271" s="12"/>
      <c r="K271" s="1"/>
    </row>
    <row r="272" spans="1:11" ht="15.6">
      <c r="A272" s="1"/>
      <c r="B272" s="1"/>
      <c r="C272" s="1"/>
      <c r="D272" s="1"/>
      <c r="E272" s="1"/>
      <c r="F272" s="1"/>
      <c r="G272" s="1"/>
      <c r="H272" s="1"/>
      <c r="I272" s="6"/>
      <c r="J272" s="12"/>
      <c r="K272" s="1"/>
    </row>
    <row r="273" spans="1:11" ht="15.6">
      <c r="A273" s="1"/>
      <c r="B273" s="1"/>
      <c r="C273" s="1"/>
      <c r="D273" s="1"/>
      <c r="E273" s="1"/>
      <c r="F273" s="1"/>
      <c r="G273" s="1"/>
      <c r="H273" s="1"/>
      <c r="I273" s="6"/>
      <c r="J273" s="12"/>
      <c r="K273" s="1"/>
    </row>
    <row r="274" spans="1:11" ht="15.6">
      <c r="A274" s="1"/>
      <c r="B274" s="1"/>
      <c r="C274" s="1"/>
      <c r="D274" s="1"/>
      <c r="E274" s="1"/>
      <c r="F274" s="1"/>
      <c r="G274" s="1"/>
      <c r="H274" s="1"/>
      <c r="I274" s="6"/>
      <c r="J274" s="12"/>
      <c r="K274" s="1"/>
    </row>
    <row r="275" spans="1:11" ht="15.6">
      <c r="A275" s="1"/>
      <c r="B275" s="1"/>
      <c r="C275" s="1"/>
      <c r="D275" s="1"/>
      <c r="E275" s="1"/>
      <c r="F275" s="1"/>
      <c r="G275" s="1"/>
      <c r="H275" s="1"/>
      <c r="I275" s="6"/>
      <c r="J275" s="12"/>
      <c r="K275" s="1"/>
    </row>
    <row r="276" spans="1:11" ht="15.6">
      <c r="A276" s="1"/>
      <c r="B276" s="1"/>
      <c r="C276" s="1"/>
      <c r="D276" s="1"/>
      <c r="E276" s="1"/>
      <c r="F276" s="1"/>
      <c r="G276" s="1"/>
      <c r="H276" s="1"/>
      <c r="I276" s="6"/>
      <c r="J276" s="12"/>
      <c r="K276" s="1"/>
    </row>
    <row r="277" spans="1:11" ht="15.6">
      <c r="A277" s="1"/>
      <c r="B277" s="1"/>
      <c r="C277" s="1"/>
      <c r="D277" s="1"/>
      <c r="E277" s="1"/>
      <c r="F277" s="1"/>
      <c r="G277" s="1"/>
      <c r="H277" s="1"/>
      <c r="I277" s="6"/>
      <c r="J277" s="12"/>
      <c r="K277" s="1"/>
    </row>
    <row r="278" spans="1:11" ht="15.6">
      <c r="A278" s="1"/>
      <c r="B278" s="1"/>
      <c r="C278" s="1"/>
      <c r="D278" s="1"/>
      <c r="E278" s="1"/>
      <c r="F278" s="1"/>
      <c r="G278" s="1"/>
      <c r="H278" s="1"/>
      <c r="I278" s="6"/>
      <c r="J278" s="12"/>
      <c r="K278" s="1"/>
    </row>
    <row r="279" spans="1:11" ht="15.6">
      <c r="A279" s="1"/>
      <c r="B279" s="1"/>
      <c r="C279" s="1"/>
      <c r="D279" s="1"/>
      <c r="E279" s="1"/>
      <c r="F279" s="1"/>
      <c r="G279" s="1"/>
      <c r="H279" s="1"/>
      <c r="I279" s="6"/>
      <c r="J279" s="12"/>
      <c r="K279" s="1"/>
    </row>
    <row r="280" spans="1:11" ht="15.6">
      <c r="A280" s="1"/>
      <c r="B280" s="1"/>
      <c r="C280" s="1"/>
      <c r="D280" s="1"/>
      <c r="E280" s="1"/>
      <c r="F280" s="1"/>
      <c r="G280" s="1"/>
      <c r="H280" s="1"/>
      <c r="I280" s="6"/>
      <c r="J280" s="12"/>
      <c r="K280" s="1"/>
    </row>
    <row r="281" spans="1:11" ht="15.6">
      <c r="A281" s="1"/>
      <c r="B281" s="1"/>
      <c r="C281" s="1"/>
      <c r="D281" s="1"/>
      <c r="E281" s="1"/>
      <c r="F281" s="1"/>
      <c r="G281" s="1"/>
      <c r="H281" s="1"/>
      <c r="I281" s="6"/>
      <c r="J281" s="12"/>
      <c r="K281" s="1"/>
    </row>
    <row r="282" spans="1:11" ht="15.6">
      <c r="A282" s="1"/>
      <c r="B282" s="1"/>
      <c r="C282" s="1"/>
      <c r="D282" s="1"/>
      <c r="E282" s="1"/>
      <c r="F282" s="1"/>
      <c r="G282" s="1"/>
      <c r="H282" s="1"/>
      <c r="I282" s="6"/>
      <c r="J282" s="12"/>
      <c r="K282" s="1"/>
    </row>
    <row r="283" spans="1:11" ht="15.6">
      <c r="A283" s="1"/>
      <c r="B283" s="1"/>
      <c r="C283" s="1"/>
      <c r="D283" s="1"/>
      <c r="E283" s="1"/>
      <c r="F283" s="1"/>
      <c r="G283" s="1"/>
      <c r="H283" s="1"/>
      <c r="I283" s="6"/>
      <c r="J283" s="12"/>
      <c r="K283" s="1"/>
    </row>
    <row r="284" spans="1:11" ht="15.6">
      <c r="A284" s="1"/>
      <c r="B284" s="1"/>
      <c r="C284" s="1"/>
      <c r="D284" s="1"/>
      <c r="E284" s="1"/>
      <c r="F284" s="1"/>
      <c r="G284" s="1"/>
      <c r="H284" s="1"/>
      <c r="I284" s="6"/>
      <c r="J284" s="12"/>
      <c r="K284" s="1"/>
    </row>
    <row r="285" spans="1:11" ht="15.6">
      <c r="A285" s="1"/>
      <c r="B285" s="1"/>
      <c r="C285" s="1"/>
      <c r="D285" s="1"/>
      <c r="E285" s="1"/>
      <c r="F285" s="1"/>
      <c r="G285" s="1"/>
      <c r="H285" s="1"/>
      <c r="I285" s="6"/>
      <c r="J285" s="12"/>
      <c r="K285" s="1"/>
    </row>
    <row r="286" spans="1:11" ht="15.6">
      <c r="A286" s="1"/>
      <c r="B286" s="1"/>
      <c r="C286" s="1"/>
      <c r="D286" s="1"/>
      <c r="E286" s="1"/>
      <c r="F286" s="1"/>
      <c r="G286" s="1"/>
      <c r="H286" s="1"/>
      <c r="I286" s="6"/>
      <c r="J286" s="12"/>
      <c r="K286" s="1"/>
    </row>
    <row r="287" spans="1:11" ht="15.6">
      <c r="A287" s="1"/>
      <c r="B287" s="1"/>
      <c r="C287" s="1"/>
      <c r="D287" s="1"/>
      <c r="E287" s="1"/>
      <c r="F287" s="1"/>
      <c r="G287" s="1"/>
      <c r="H287" s="1"/>
      <c r="I287" s="6"/>
      <c r="J287" s="12"/>
      <c r="K287" s="1"/>
    </row>
    <row r="288" spans="1:11" ht="15.6">
      <c r="A288" s="1"/>
      <c r="B288" s="1"/>
      <c r="C288" s="1"/>
      <c r="D288" s="1"/>
      <c r="E288" s="1"/>
      <c r="F288" s="1"/>
      <c r="G288" s="1"/>
      <c r="H288" s="1"/>
      <c r="I288" s="6"/>
      <c r="J288" s="12"/>
      <c r="K288" s="1"/>
    </row>
    <row r="289" spans="1:11" ht="15.6">
      <c r="A289" s="1"/>
      <c r="B289" s="1"/>
      <c r="C289" s="1"/>
      <c r="D289" s="1"/>
      <c r="E289" s="1"/>
      <c r="F289" s="1"/>
      <c r="G289" s="1"/>
      <c r="H289" s="1"/>
      <c r="I289" s="6"/>
      <c r="J289" s="12"/>
      <c r="K289" s="1"/>
    </row>
    <row r="290" spans="1:11" ht="15.6">
      <c r="A290" s="1"/>
      <c r="B290" s="1"/>
      <c r="C290" s="1"/>
      <c r="D290" s="1"/>
      <c r="E290" s="1"/>
      <c r="F290" s="1"/>
      <c r="G290" s="1"/>
      <c r="H290" s="1"/>
      <c r="I290" s="6"/>
      <c r="J290" s="12"/>
      <c r="K290" s="1"/>
    </row>
    <row r="291" spans="1:11" ht="15.6">
      <c r="A291" s="1"/>
      <c r="B291" s="1"/>
      <c r="C291" s="1"/>
      <c r="D291" s="1"/>
      <c r="E291" s="1"/>
      <c r="F291" s="1"/>
      <c r="G291" s="1"/>
      <c r="H291" s="1"/>
      <c r="I291" s="6"/>
      <c r="J291" s="12"/>
      <c r="K291" s="1"/>
    </row>
    <row r="292" spans="1:11" ht="15.6">
      <c r="A292" s="1"/>
      <c r="B292" s="1"/>
      <c r="C292" s="1"/>
      <c r="D292" s="1"/>
      <c r="E292" s="1"/>
      <c r="F292" s="1"/>
      <c r="G292" s="1"/>
      <c r="H292" s="1"/>
      <c r="I292" s="6"/>
      <c r="J292" s="12"/>
      <c r="K292" s="1"/>
    </row>
    <row r="293" spans="1:11" ht="15.6">
      <c r="A293" s="1"/>
      <c r="B293" s="1"/>
      <c r="C293" s="1"/>
      <c r="D293" s="1"/>
      <c r="E293" s="1"/>
      <c r="F293" s="1"/>
      <c r="G293" s="1"/>
      <c r="H293" s="1"/>
      <c r="I293" s="6"/>
      <c r="J293" s="12"/>
      <c r="K293" s="1"/>
    </row>
    <row r="294" spans="1:11" ht="15.6">
      <c r="A294" s="1"/>
      <c r="B294" s="1"/>
      <c r="C294" s="1"/>
      <c r="D294" s="1"/>
      <c r="E294" s="1"/>
      <c r="F294" s="1"/>
      <c r="G294" s="1"/>
      <c r="H294" s="1"/>
      <c r="I294" s="6"/>
      <c r="J294" s="12"/>
      <c r="K294" s="1"/>
    </row>
    <row r="295" spans="1:11" ht="15.6">
      <c r="A295" s="1"/>
      <c r="B295" s="1"/>
      <c r="C295" s="1"/>
      <c r="D295" s="1"/>
      <c r="E295" s="1"/>
      <c r="F295" s="1"/>
      <c r="G295" s="1"/>
      <c r="H295" s="1"/>
      <c r="I295" s="6"/>
      <c r="J295" s="12"/>
      <c r="K295" s="1"/>
    </row>
    <row r="296" spans="1:11" ht="15.6">
      <c r="A296" s="1"/>
      <c r="B296" s="1"/>
      <c r="C296" s="1"/>
      <c r="D296" s="1"/>
      <c r="E296" s="1"/>
      <c r="F296" s="1"/>
      <c r="G296" s="1"/>
      <c r="H296" s="1"/>
      <c r="I296" s="6"/>
      <c r="J296" s="12"/>
      <c r="K296" s="1"/>
    </row>
    <row r="297" spans="1:11" ht="15.6">
      <c r="A297" s="1"/>
      <c r="B297" s="1"/>
      <c r="C297" s="1"/>
      <c r="D297" s="1"/>
      <c r="E297" s="1"/>
      <c r="F297" s="1"/>
      <c r="G297" s="1"/>
      <c r="H297" s="1"/>
      <c r="I297" s="6"/>
      <c r="J297" s="12"/>
      <c r="K297" s="1"/>
    </row>
    <row r="298" spans="1:11" ht="15.6">
      <c r="A298" s="1"/>
      <c r="B298" s="1"/>
      <c r="C298" s="1"/>
      <c r="D298" s="1"/>
      <c r="E298" s="1"/>
      <c r="F298" s="1"/>
      <c r="G298" s="1"/>
      <c r="H298" s="1"/>
      <c r="I298" s="6"/>
      <c r="J298" s="12"/>
      <c r="K298" s="1"/>
    </row>
    <row r="299" spans="1:11" ht="15.6">
      <c r="A299" s="1"/>
      <c r="B299" s="1"/>
      <c r="C299" s="1"/>
      <c r="D299" s="1"/>
      <c r="E299" s="1"/>
      <c r="F299" s="1"/>
      <c r="G299" s="1"/>
      <c r="H299" s="1"/>
      <c r="I299" s="6"/>
      <c r="J299" s="12"/>
      <c r="K299" s="1"/>
    </row>
    <row r="300" spans="1:11" ht="15.6">
      <c r="A300" s="1"/>
      <c r="B300" s="1"/>
      <c r="C300" s="1"/>
      <c r="D300" s="1"/>
      <c r="E300" s="1"/>
      <c r="F300" s="1"/>
      <c r="G300" s="1"/>
      <c r="H300" s="1"/>
      <c r="I300" s="6"/>
      <c r="J300" s="12"/>
      <c r="K300" s="1"/>
    </row>
    <row r="301" spans="1:11" ht="15.6">
      <c r="A301" s="1"/>
      <c r="B301" s="1"/>
      <c r="C301" s="1"/>
      <c r="D301" s="1"/>
      <c r="E301" s="1"/>
      <c r="F301" s="1"/>
      <c r="G301" s="1"/>
      <c r="H301" s="1"/>
      <c r="I301" s="6"/>
      <c r="J301" s="12"/>
      <c r="K301" s="1"/>
    </row>
    <row r="302" spans="1:11" ht="15.6">
      <c r="A302" s="1"/>
      <c r="B302" s="1"/>
      <c r="C302" s="1"/>
      <c r="D302" s="1"/>
      <c r="E302" s="1"/>
      <c r="F302" s="1"/>
      <c r="G302" s="1"/>
      <c r="H302" s="1"/>
      <c r="I302" s="6"/>
      <c r="J302" s="12"/>
      <c r="K302" s="1"/>
    </row>
    <row r="303" spans="1:11" ht="15.6">
      <c r="A303" s="1"/>
      <c r="B303" s="1"/>
      <c r="C303" s="1"/>
      <c r="D303" s="1"/>
      <c r="E303" s="1"/>
      <c r="F303" s="1"/>
      <c r="G303" s="1"/>
      <c r="H303" s="1"/>
      <c r="I303" s="6"/>
      <c r="J303" s="12"/>
      <c r="K303" s="1"/>
    </row>
    <row r="304" spans="1:11" ht="15.6">
      <c r="A304" s="1"/>
      <c r="B304" s="1"/>
      <c r="C304" s="1"/>
      <c r="D304" s="1"/>
      <c r="E304" s="1"/>
      <c r="F304" s="1"/>
      <c r="G304" s="1"/>
      <c r="H304" s="1"/>
      <c r="I304" s="6"/>
      <c r="J304" s="12"/>
      <c r="K304" s="1"/>
    </row>
    <row r="305" spans="1:11" ht="15.6">
      <c r="A305" s="1"/>
      <c r="B305" s="1"/>
      <c r="C305" s="1"/>
      <c r="D305" s="1"/>
      <c r="E305" s="1"/>
      <c r="F305" s="1"/>
      <c r="G305" s="1"/>
      <c r="H305" s="1"/>
      <c r="I305" s="6"/>
      <c r="J305" s="12"/>
      <c r="K305" s="1"/>
    </row>
    <row r="306" spans="1:11" ht="15.6">
      <c r="A306" s="1"/>
      <c r="B306" s="1"/>
      <c r="C306" s="1"/>
      <c r="D306" s="1"/>
      <c r="E306" s="1"/>
      <c r="F306" s="1"/>
      <c r="G306" s="1"/>
      <c r="H306" s="1"/>
      <c r="I306" s="6"/>
      <c r="J306" s="12"/>
      <c r="K306" s="1"/>
    </row>
    <row r="307" spans="1:11" ht="15.6">
      <c r="A307" s="1"/>
      <c r="B307" s="1"/>
      <c r="C307" s="1"/>
      <c r="D307" s="1"/>
      <c r="E307" s="1"/>
      <c r="F307" s="1"/>
      <c r="G307" s="1"/>
      <c r="H307" s="1"/>
      <c r="I307" s="6"/>
      <c r="J307" s="12"/>
      <c r="K307" s="1"/>
    </row>
    <row r="308" spans="1:11" ht="15.6">
      <c r="A308" s="1"/>
      <c r="B308" s="1"/>
      <c r="C308" s="1"/>
      <c r="D308" s="1"/>
      <c r="E308" s="1"/>
      <c r="F308" s="1"/>
      <c r="G308" s="1"/>
      <c r="H308" s="1"/>
      <c r="I308" s="6"/>
      <c r="J308" s="12"/>
      <c r="K308" s="1"/>
    </row>
    <row r="309" spans="1:11" ht="15.6">
      <c r="A309" s="1"/>
      <c r="B309" s="1"/>
      <c r="C309" s="1"/>
      <c r="D309" s="1"/>
      <c r="E309" s="1"/>
      <c r="F309" s="1"/>
      <c r="G309" s="1"/>
      <c r="H309" s="1"/>
      <c r="I309" s="6"/>
      <c r="J309" s="12"/>
      <c r="K309" s="1"/>
    </row>
    <row r="310" spans="1:11" ht="15.6">
      <c r="A310" s="1"/>
      <c r="B310" s="1"/>
      <c r="C310" s="1"/>
      <c r="D310" s="1"/>
      <c r="E310" s="1"/>
      <c r="F310" s="1"/>
      <c r="G310" s="1"/>
      <c r="H310" s="1"/>
      <c r="I310" s="6"/>
      <c r="J310" s="12"/>
      <c r="K310" s="1"/>
    </row>
    <row r="311" spans="1:11" ht="15.6">
      <c r="A311" s="1"/>
      <c r="B311" s="1"/>
      <c r="C311" s="1"/>
      <c r="D311" s="1"/>
      <c r="E311" s="1"/>
      <c r="F311" s="1"/>
      <c r="G311" s="1"/>
      <c r="H311" s="1"/>
      <c r="I311" s="6"/>
      <c r="J311" s="12"/>
      <c r="K311" s="1"/>
    </row>
    <row r="312" spans="1:11" ht="15.6">
      <c r="A312" s="1"/>
      <c r="B312" s="1"/>
      <c r="C312" s="1"/>
      <c r="D312" s="1"/>
      <c r="E312" s="1"/>
      <c r="F312" s="1"/>
      <c r="G312" s="1"/>
      <c r="H312" s="1"/>
      <c r="I312" s="6"/>
      <c r="J312" s="12"/>
      <c r="K312" s="1"/>
    </row>
    <row r="313" spans="1:11" ht="15.6">
      <c r="A313" s="1"/>
      <c r="B313" s="1"/>
      <c r="C313" s="1"/>
      <c r="D313" s="1"/>
      <c r="E313" s="1"/>
      <c r="F313" s="1"/>
      <c r="G313" s="1"/>
      <c r="H313" s="1"/>
      <c r="I313" s="6"/>
      <c r="J313" s="12"/>
      <c r="K313" s="1"/>
    </row>
    <row r="314" spans="1:11" ht="15.6">
      <c r="A314" s="1"/>
      <c r="B314" s="1"/>
      <c r="C314" s="1"/>
      <c r="D314" s="1"/>
      <c r="E314" s="1"/>
      <c r="F314" s="1"/>
      <c r="G314" s="1"/>
      <c r="H314" s="1"/>
      <c r="I314" s="6"/>
      <c r="J314" s="12"/>
      <c r="K314" s="1"/>
    </row>
    <row r="315" spans="1:11" ht="15.6">
      <c r="A315" s="1"/>
      <c r="B315" s="1"/>
      <c r="C315" s="1"/>
      <c r="D315" s="1"/>
      <c r="E315" s="1"/>
      <c r="F315" s="1"/>
      <c r="G315" s="1"/>
      <c r="H315" s="1"/>
      <c r="I315" s="6"/>
      <c r="J315" s="12"/>
      <c r="K315" s="1"/>
    </row>
    <row r="316" spans="1:11" ht="15.6">
      <c r="A316" s="1"/>
      <c r="B316" s="1"/>
      <c r="C316" s="1"/>
      <c r="D316" s="1"/>
      <c r="E316" s="1"/>
      <c r="F316" s="1"/>
      <c r="G316" s="1"/>
      <c r="H316" s="1"/>
      <c r="I316" s="6"/>
      <c r="J316" s="12"/>
      <c r="K316" s="1"/>
    </row>
    <row r="317" spans="1:11" ht="15.6">
      <c r="A317" s="1"/>
      <c r="B317" s="1"/>
      <c r="C317" s="1"/>
      <c r="D317" s="1"/>
      <c r="E317" s="1"/>
      <c r="F317" s="1"/>
      <c r="G317" s="1"/>
      <c r="H317" s="1"/>
      <c r="I317" s="6"/>
      <c r="J317" s="12"/>
      <c r="K317" s="1"/>
    </row>
    <row r="318" spans="1:11" ht="15.6">
      <c r="A318" s="1"/>
      <c r="B318" s="1"/>
      <c r="C318" s="1"/>
      <c r="D318" s="1"/>
      <c r="E318" s="1"/>
      <c r="F318" s="1"/>
      <c r="G318" s="1"/>
      <c r="H318" s="1"/>
      <c r="I318" s="6"/>
      <c r="J318" s="12"/>
      <c r="K318" s="1"/>
    </row>
    <row r="319" spans="1:11" ht="15.6">
      <c r="A319" s="1"/>
      <c r="B319" s="1"/>
      <c r="C319" s="1"/>
      <c r="D319" s="1"/>
      <c r="E319" s="1"/>
      <c r="F319" s="1"/>
      <c r="G319" s="1"/>
      <c r="H319" s="1"/>
      <c r="I319" s="6"/>
      <c r="J319" s="12"/>
      <c r="K319" s="1"/>
    </row>
    <row r="320" spans="1:11" ht="15.6">
      <c r="A320" s="1"/>
      <c r="B320" s="1"/>
      <c r="C320" s="1"/>
      <c r="D320" s="1"/>
      <c r="E320" s="1"/>
      <c r="F320" s="1"/>
      <c r="G320" s="1"/>
      <c r="H320" s="1"/>
      <c r="I320" s="6"/>
      <c r="J320" s="12"/>
      <c r="K320" s="1"/>
    </row>
    <row r="321" spans="1:11" ht="15.6">
      <c r="A321" s="1"/>
      <c r="B321" s="1"/>
      <c r="C321" s="1"/>
      <c r="D321" s="1"/>
      <c r="E321" s="1"/>
      <c r="F321" s="1"/>
      <c r="G321" s="1"/>
      <c r="H321" s="1"/>
      <c r="I321" s="6"/>
      <c r="J321" s="12"/>
      <c r="K321" s="1"/>
    </row>
    <row r="322" spans="1:11" ht="15.6">
      <c r="A322" s="1"/>
      <c r="B322" s="1"/>
      <c r="C322" s="1"/>
      <c r="D322" s="1"/>
      <c r="E322" s="1"/>
      <c r="F322" s="1"/>
      <c r="G322" s="1"/>
      <c r="H322" s="1"/>
      <c r="I322" s="6"/>
      <c r="J322" s="12"/>
      <c r="K322" s="1"/>
    </row>
    <row r="323" spans="1:11" ht="15.6">
      <c r="A323" s="1"/>
      <c r="B323" s="1"/>
      <c r="C323" s="1"/>
      <c r="D323" s="1"/>
      <c r="E323" s="1"/>
      <c r="F323" s="1"/>
      <c r="G323" s="1"/>
      <c r="H323" s="1"/>
      <c r="I323" s="6"/>
      <c r="J323" s="12"/>
      <c r="K323" s="1"/>
    </row>
    <row r="324" spans="1:11" ht="15.6">
      <c r="A324" s="1"/>
      <c r="B324" s="1"/>
      <c r="C324" s="1"/>
      <c r="D324" s="1"/>
      <c r="E324" s="1"/>
      <c r="F324" s="1"/>
      <c r="G324" s="1"/>
      <c r="H324" s="1"/>
      <c r="I324" s="6"/>
      <c r="J324" s="12"/>
      <c r="K324" s="1"/>
    </row>
    <row r="325" spans="1:11" ht="15.6">
      <c r="A325" s="1"/>
      <c r="B325" s="1"/>
      <c r="C325" s="1"/>
      <c r="D325" s="1"/>
      <c r="E325" s="1"/>
      <c r="F325" s="1"/>
      <c r="G325" s="1"/>
      <c r="H325" s="1"/>
      <c r="I325" s="6"/>
      <c r="J325" s="12"/>
      <c r="K325" s="1"/>
    </row>
    <row r="326" spans="1:11" ht="15.6">
      <c r="A326" s="1"/>
      <c r="B326" s="1"/>
      <c r="C326" s="1"/>
      <c r="D326" s="1"/>
      <c r="E326" s="1"/>
      <c r="F326" s="1"/>
      <c r="G326" s="1"/>
      <c r="H326" s="1"/>
      <c r="I326" s="6"/>
      <c r="J326" s="12"/>
      <c r="K326" s="1"/>
    </row>
    <row r="327" spans="1:11" ht="15.6">
      <c r="A327" s="1"/>
      <c r="B327" s="1"/>
      <c r="C327" s="1"/>
      <c r="D327" s="1"/>
      <c r="E327" s="1"/>
      <c r="F327" s="1"/>
      <c r="G327" s="1"/>
      <c r="H327" s="1"/>
      <c r="I327" s="6"/>
      <c r="J327" s="12"/>
      <c r="K327" s="1"/>
    </row>
    <row r="328" spans="1:11" ht="15.6">
      <c r="A328" s="1"/>
      <c r="B328" s="1"/>
      <c r="C328" s="1"/>
      <c r="D328" s="1"/>
      <c r="E328" s="1"/>
      <c r="F328" s="1"/>
      <c r="G328" s="1"/>
      <c r="H328" s="1"/>
      <c r="I328" s="6"/>
      <c r="J328" s="12"/>
      <c r="K328" s="1"/>
    </row>
    <row r="329" spans="1:11" ht="15.6">
      <c r="A329" s="1"/>
      <c r="B329" s="1"/>
      <c r="C329" s="1"/>
      <c r="D329" s="1"/>
      <c r="E329" s="1"/>
      <c r="F329" s="1"/>
      <c r="G329" s="1"/>
      <c r="H329" s="1"/>
      <c r="I329" s="6"/>
      <c r="J329" s="12"/>
      <c r="K329" s="1"/>
    </row>
    <row r="330" spans="1:11" ht="15.6">
      <c r="A330" s="1"/>
      <c r="B330" s="1"/>
      <c r="C330" s="1"/>
      <c r="D330" s="1"/>
      <c r="E330" s="1"/>
      <c r="F330" s="1"/>
      <c r="G330" s="1"/>
      <c r="H330" s="1"/>
      <c r="I330" s="6"/>
      <c r="J330" s="12"/>
      <c r="K330" s="1"/>
    </row>
    <row r="331" spans="1:11" ht="15.6">
      <c r="A331" s="1"/>
      <c r="B331" s="1"/>
      <c r="C331" s="1"/>
      <c r="D331" s="1"/>
      <c r="E331" s="1"/>
      <c r="F331" s="1"/>
      <c r="G331" s="1"/>
      <c r="H331" s="1"/>
      <c r="I331" s="6"/>
      <c r="J331" s="12"/>
      <c r="K331" s="1"/>
    </row>
    <row r="332" spans="1:11" ht="15.6">
      <c r="A332" s="1"/>
      <c r="B332" s="1"/>
      <c r="C332" s="1"/>
      <c r="D332" s="1"/>
      <c r="E332" s="1"/>
      <c r="F332" s="1"/>
      <c r="G332" s="1"/>
      <c r="H332" s="1"/>
      <c r="I332" s="6"/>
      <c r="J332" s="12"/>
      <c r="K332" s="1"/>
    </row>
    <row r="333" spans="1:11" ht="15.6">
      <c r="A333" s="1"/>
      <c r="B333" s="1"/>
      <c r="C333" s="1"/>
      <c r="D333" s="1"/>
      <c r="E333" s="1"/>
      <c r="F333" s="1"/>
      <c r="G333" s="1"/>
      <c r="H333" s="1"/>
      <c r="I333" s="6"/>
      <c r="J333" s="12"/>
      <c r="K333" s="1"/>
    </row>
    <row r="334" spans="1:11" ht="15.6">
      <c r="A334" s="1"/>
      <c r="B334" s="1"/>
      <c r="C334" s="1"/>
      <c r="D334" s="1"/>
      <c r="E334" s="1"/>
      <c r="F334" s="1"/>
      <c r="G334" s="1"/>
      <c r="H334" s="1"/>
      <c r="I334" s="6"/>
      <c r="J334" s="12"/>
      <c r="K334" s="1"/>
    </row>
    <row r="335" spans="1:11" ht="15.6">
      <c r="A335" s="1"/>
      <c r="B335" s="1"/>
      <c r="C335" s="1"/>
      <c r="D335" s="1"/>
      <c r="E335" s="1"/>
      <c r="F335" s="1"/>
      <c r="G335" s="1"/>
      <c r="H335" s="1"/>
      <c r="I335" s="6"/>
      <c r="J335" s="12"/>
      <c r="K335" s="1"/>
    </row>
    <row r="336" spans="1:11" ht="15.6">
      <c r="A336" s="1"/>
      <c r="B336" s="1"/>
      <c r="C336" s="1"/>
      <c r="D336" s="1"/>
      <c r="E336" s="1"/>
      <c r="F336" s="1"/>
      <c r="G336" s="1"/>
      <c r="H336" s="1"/>
      <c r="I336" s="6"/>
      <c r="J336" s="12"/>
      <c r="K336" s="1"/>
    </row>
    <row r="337" spans="1:11" ht="15.6">
      <c r="A337" s="1"/>
      <c r="B337" s="1"/>
      <c r="C337" s="1"/>
      <c r="D337" s="1"/>
      <c r="E337" s="1"/>
      <c r="F337" s="1"/>
      <c r="G337" s="1"/>
      <c r="H337" s="1"/>
      <c r="I337" s="6"/>
      <c r="J337" s="12"/>
      <c r="K337" s="1"/>
    </row>
    <row r="338" spans="1:11" ht="15.6">
      <c r="A338" s="1"/>
      <c r="B338" s="1"/>
      <c r="C338" s="1"/>
      <c r="D338" s="1"/>
      <c r="E338" s="1"/>
      <c r="F338" s="1"/>
      <c r="G338" s="1"/>
      <c r="H338" s="1"/>
      <c r="I338" s="6"/>
      <c r="J338" s="12"/>
      <c r="K338" s="1"/>
    </row>
    <row r="339" spans="1:11" ht="15.6">
      <c r="A339" s="1"/>
      <c r="B339" s="1"/>
      <c r="C339" s="1"/>
      <c r="D339" s="1"/>
      <c r="E339" s="1"/>
      <c r="F339" s="1"/>
      <c r="G339" s="1"/>
      <c r="H339" s="1"/>
      <c r="I339" s="6"/>
      <c r="J339" s="12"/>
      <c r="K339" s="1"/>
    </row>
    <row r="340" spans="1:11" ht="15.6">
      <c r="A340" s="1"/>
      <c r="B340" s="1"/>
      <c r="C340" s="1"/>
      <c r="D340" s="1"/>
      <c r="E340" s="1"/>
      <c r="F340" s="1"/>
      <c r="G340" s="1"/>
      <c r="H340" s="1"/>
      <c r="I340" s="6"/>
      <c r="J340" s="12"/>
      <c r="K340" s="1"/>
    </row>
    <row r="341" spans="1:11" ht="15.6">
      <c r="A341" s="1"/>
      <c r="B341" s="1"/>
      <c r="C341" s="1"/>
      <c r="D341" s="1"/>
      <c r="E341" s="1"/>
      <c r="F341" s="1"/>
      <c r="G341" s="1"/>
      <c r="H341" s="1"/>
      <c r="I341" s="6"/>
      <c r="J341" s="12"/>
      <c r="K341" s="1"/>
    </row>
    <row r="342" spans="1:11" ht="15.6">
      <c r="A342" s="1"/>
      <c r="B342" s="1"/>
      <c r="C342" s="1"/>
      <c r="D342" s="1"/>
      <c r="E342" s="1"/>
      <c r="F342" s="1"/>
      <c r="G342" s="1"/>
      <c r="H342" s="1"/>
      <c r="I342" s="6"/>
      <c r="J342" s="12"/>
      <c r="K342" s="1"/>
    </row>
    <row r="343" spans="1:11" ht="15.6">
      <c r="A343" s="1"/>
      <c r="B343" s="1"/>
      <c r="C343" s="1"/>
      <c r="D343" s="1"/>
      <c r="E343" s="1"/>
      <c r="F343" s="1"/>
      <c r="G343" s="1"/>
      <c r="H343" s="1"/>
      <c r="I343" s="6"/>
      <c r="J343" s="12"/>
      <c r="K343" s="1"/>
    </row>
    <row r="344" spans="1:11" ht="15.6">
      <c r="A344" s="1"/>
      <c r="B344" s="1"/>
      <c r="C344" s="1"/>
      <c r="D344" s="1"/>
      <c r="E344" s="1"/>
      <c r="F344" s="1"/>
      <c r="G344" s="1"/>
      <c r="H344" s="1"/>
      <c r="I344" s="6"/>
      <c r="J344" s="12"/>
      <c r="K344" s="1"/>
    </row>
    <row r="345" spans="1:11" ht="15.6">
      <c r="A345" s="1"/>
      <c r="B345" s="1"/>
      <c r="C345" s="1"/>
      <c r="D345" s="1"/>
      <c r="E345" s="1"/>
      <c r="F345" s="1"/>
      <c r="G345" s="1"/>
      <c r="H345" s="1"/>
      <c r="I345" s="6"/>
      <c r="J345" s="12"/>
      <c r="K345" s="1"/>
    </row>
    <row r="346" spans="1:11" ht="15.6">
      <c r="A346" s="1"/>
      <c r="B346" s="1"/>
      <c r="C346" s="1"/>
      <c r="D346" s="1"/>
      <c r="E346" s="1"/>
      <c r="F346" s="1"/>
      <c r="G346" s="1"/>
      <c r="H346" s="1"/>
      <c r="I346" s="6"/>
      <c r="J346" s="12"/>
      <c r="K346" s="1"/>
    </row>
    <row r="347" spans="1:11" ht="15.6">
      <c r="A347" s="1"/>
      <c r="B347" s="1"/>
      <c r="C347" s="1"/>
      <c r="D347" s="1"/>
      <c r="E347" s="1"/>
      <c r="F347" s="1"/>
      <c r="G347" s="1"/>
      <c r="H347" s="1"/>
      <c r="I347" s="6"/>
      <c r="J347" s="12"/>
      <c r="K347" s="1"/>
    </row>
    <row r="348" spans="1:11" ht="15.6">
      <c r="A348" s="1"/>
      <c r="B348" s="1"/>
      <c r="C348" s="1"/>
      <c r="D348" s="1"/>
      <c r="E348" s="1"/>
      <c r="F348" s="1"/>
      <c r="G348" s="1"/>
      <c r="H348" s="1"/>
      <c r="I348" s="6"/>
      <c r="J348" s="12"/>
      <c r="K348" s="1"/>
    </row>
    <row r="349" spans="1:11" ht="15.6">
      <c r="A349" s="1"/>
      <c r="B349" s="1"/>
      <c r="C349" s="1"/>
      <c r="D349" s="1"/>
      <c r="E349" s="1"/>
      <c r="F349" s="1"/>
      <c r="G349" s="1"/>
      <c r="H349" s="1"/>
      <c r="I349" s="6"/>
      <c r="J349" s="12"/>
      <c r="K349" s="1"/>
    </row>
    <row r="350" spans="1:11" ht="15.6">
      <c r="A350" s="1"/>
      <c r="B350" s="1"/>
      <c r="C350" s="1"/>
      <c r="D350" s="1"/>
      <c r="E350" s="1"/>
      <c r="F350" s="1"/>
      <c r="G350" s="1"/>
      <c r="H350" s="1"/>
      <c r="I350" s="6"/>
      <c r="J350" s="12"/>
      <c r="K350" s="1"/>
    </row>
    <row r="351" spans="1:11" ht="15.6">
      <c r="A351" s="1"/>
      <c r="B351" s="1"/>
      <c r="C351" s="1"/>
      <c r="D351" s="1"/>
      <c r="E351" s="1"/>
      <c r="F351" s="1"/>
      <c r="G351" s="1"/>
      <c r="H351" s="1"/>
      <c r="I351" s="6"/>
      <c r="J351" s="12"/>
      <c r="K351" s="1"/>
    </row>
    <row r="352" spans="1:11" ht="15.6">
      <c r="A352" s="1"/>
      <c r="B352" s="1"/>
      <c r="C352" s="1"/>
      <c r="D352" s="1"/>
      <c r="E352" s="1"/>
      <c r="F352" s="1"/>
      <c r="G352" s="1"/>
      <c r="H352" s="1"/>
      <c r="I352" s="6"/>
      <c r="J352" s="12"/>
      <c r="K352" s="1"/>
    </row>
    <row r="353" spans="1:11" ht="15.6">
      <c r="A353" s="1"/>
      <c r="B353" s="1"/>
      <c r="C353" s="1"/>
      <c r="D353" s="1"/>
      <c r="E353" s="1"/>
      <c r="F353" s="1"/>
      <c r="G353" s="1"/>
      <c r="H353" s="1"/>
      <c r="I353" s="6"/>
      <c r="J353" s="12"/>
      <c r="K353" s="1"/>
    </row>
    <row r="354" spans="1:11" ht="15.6">
      <c r="A354" s="1"/>
      <c r="B354" s="1"/>
      <c r="C354" s="1"/>
      <c r="D354" s="1"/>
      <c r="E354" s="1"/>
      <c r="F354" s="1"/>
      <c r="G354" s="1"/>
      <c r="H354" s="1"/>
      <c r="I354" s="6"/>
      <c r="J354" s="12"/>
      <c r="K354" s="1"/>
    </row>
    <row r="355" spans="1:11" ht="15.6">
      <c r="A355" s="1"/>
      <c r="B355" s="1"/>
      <c r="C355" s="1"/>
      <c r="D355" s="1"/>
      <c r="E355" s="1"/>
      <c r="F355" s="1"/>
      <c r="G355" s="1"/>
      <c r="H355" s="1"/>
      <c r="I355" s="6"/>
      <c r="J355" s="12"/>
      <c r="K355" s="1"/>
    </row>
    <row r="356" spans="1:11" ht="15.6">
      <c r="A356" s="1"/>
      <c r="B356" s="1"/>
      <c r="C356" s="1"/>
      <c r="D356" s="1"/>
      <c r="E356" s="1"/>
      <c r="F356" s="1"/>
      <c r="G356" s="1"/>
      <c r="H356" s="1"/>
      <c r="I356" s="6"/>
      <c r="J356" s="12"/>
      <c r="K356" s="1"/>
    </row>
    <row r="357" spans="1:11" ht="15.6">
      <c r="A357" s="1"/>
      <c r="B357" s="1"/>
      <c r="C357" s="1"/>
      <c r="D357" s="1"/>
      <c r="E357" s="1"/>
      <c r="F357" s="1"/>
      <c r="G357" s="1"/>
      <c r="H357" s="1"/>
      <c r="I357" s="6"/>
      <c r="J357" s="12"/>
      <c r="K357" s="1"/>
    </row>
    <row r="358" spans="1:11" ht="15.6">
      <c r="A358" s="1"/>
      <c r="B358" s="1"/>
      <c r="C358" s="1"/>
      <c r="D358" s="1"/>
      <c r="E358" s="1"/>
      <c r="F358" s="1"/>
      <c r="G358" s="1"/>
      <c r="H358" s="1"/>
      <c r="I358" s="6"/>
      <c r="J358" s="12"/>
      <c r="K358" s="1"/>
    </row>
    <row r="359" spans="1:11" ht="15.6">
      <c r="A359" s="1"/>
      <c r="B359" s="1"/>
      <c r="C359" s="1"/>
      <c r="D359" s="1"/>
      <c r="E359" s="1"/>
      <c r="F359" s="1"/>
      <c r="G359" s="1"/>
      <c r="H359" s="1"/>
      <c r="I359" s="6"/>
      <c r="J359" s="12"/>
      <c r="K359" s="1"/>
    </row>
    <row r="360" spans="1:11" ht="15.6">
      <c r="A360" s="1"/>
      <c r="B360" s="1"/>
      <c r="C360" s="1"/>
      <c r="D360" s="1"/>
      <c r="E360" s="1"/>
      <c r="F360" s="1"/>
      <c r="G360" s="1"/>
      <c r="H360" s="1"/>
      <c r="I360" s="6"/>
      <c r="J360" s="12"/>
      <c r="K360" s="1"/>
    </row>
    <row r="361" spans="1:11" ht="15.6">
      <c r="A361" s="1"/>
      <c r="B361" s="1"/>
      <c r="C361" s="1"/>
      <c r="D361" s="1"/>
      <c r="E361" s="1"/>
      <c r="F361" s="1"/>
      <c r="G361" s="1"/>
      <c r="H361" s="1"/>
      <c r="I361" s="6"/>
      <c r="J361" s="12"/>
      <c r="K361" s="1"/>
    </row>
    <row r="362" spans="1:11" ht="15.6">
      <c r="A362" s="1"/>
      <c r="B362" s="1"/>
      <c r="C362" s="1"/>
      <c r="D362" s="1"/>
      <c r="E362" s="1"/>
      <c r="F362" s="1"/>
      <c r="G362" s="1"/>
      <c r="H362" s="1"/>
      <c r="I362" s="6"/>
      <c r="J362" s="12"/>
      <c r="K362" s="1"/>
    </row>
    <row r="363" spans="1:11" ht="15.6">
      <c r="A363" s="1"/>
      <c r="B363" s="1"/>
      <c r="C363" s="1"/>
      <c r="D363" s="1"/>
      <c r="E363" s="1"/>
      <c r="F363" s="1"/>
      <c r="G363" s="1"/>
      <c r="H363" s="1"/>
      <c r="I363" s="6"/>
      <c r="J363" s="12"/>
      <c r="K363" s="1"/>
    </row>
    <row r="364" spans="1:11" ht="15.6">
      <c r="A364" s="1"/>
      <c r="B364" s="1"/>
      <c r="C364" s="1"/>
      <c r="D364" s="1"/>
      <c r="E364" s="1"/>
      <c r="F364" s="1"/>
      <c r="G364" s="1"/>
      <c r="H364" s="1"/>
      <c r="I364" s="6"/>
      <c r="J364" s="12"/>
      <c r="K364" s="1"/>
    </row>
    <row r="365" spans="1:11" ht="15.6">
      <c r="A365" s="1"/>
      <c r="B365" s="1"/>
      <c r="C365" s="1"/>
      <c r="D365" s="1"/>
      <c r="E365" s="1"/>
      <c r="F365" s="1"/>
      <c r="G365" s="1"/>
      <c r="H365" s="1"/>
      <c r="I365" s="6"/>
      <c r="J365" s="12"/>
      <c r="K365" s="1"/>
    </row>
    <row r="366" spans="1:11" ht="15.6">
      <c r="A366" s="1"/>
      <c r="B366" s="1"/>
      <c r="C366" s="1"/>
      <c r="D366" s="1"/>
      <c r="E366" s="1"/>
      <c r="F366" s="1"/>
      <c r="G366" s="1"/>
      <c r="H366" s="1"/>
      <c r="I366" s="6"/>
      <c r="J366" s="12"/>
      <c r="K366" s="1"/>
    </row>
    <row r="367" spans="1:11" ht="15.6">
      <c r="A367" s="1"/>
      <c r="B367" s="1"/>
      <c r="C367" s="1"/>
      <c r="D367" s="1"/>
      <c r="E367" s="1"/>
      <c r="F367" s="1"/>
      <c r="G367" s="1"/>
      <c r="H367" s="1"/>
      <c r="I367" s="6"/>
      <c r="J367" s="12"/>
      <c r="K367" s="1"/>
    </row>
    <row r="368" spans="1:11" ht="15.6">
      <c r="A368" s="1"/>
      <c r="B368" s="1"/>
      <c r="C368" s="1"/>
      <c r="D368" s="1"/>
      <c r="E368" s="1"/>
      <c r="F368" s="1"/>
      <c r="G368" s="1"/>
      <c r="H368" s="1"/>
      <c r="I368" s="6"/>
      <c r="J368" s="12"/>
      <c r="K368" s="1"/>
    </row>
    <row r="369" spans="1:11" ht="15.6">
      <c r="A369" s="1"/>
      <c r="B369" s="1"/>
      <c r="C369" s="1"/>
      <c r="D369" s="1"/>
      <c r="E369" s="1"/>
      <c r="F369" s="1"/>
      <c r="G369" s="1"/>
      <c r="H369" s="1"/>
      <c r="I369" s="6"/>
      <c r="J369" s="12"/>
      <c r="K369" s="1"/>
    </row>
    <row r="370" spans="1:11" ht="15.6">
      <c r="A370" s="1"/>
      <c r="B370" s="1"/>
      <c r="C370" s="1"/>
      <c r="D370" s="1"/>
      <c r="E370" s="1"/>
      <c r="F370" s="1"/>
      <c r="G370" s="1"/>
      <c r="H370" s="1"/>
      <c r="I370" s="6"/>
      <c r="J370" s="12"/>
      <c r="K370" s="1"/>
    </row>
    <row r="371" spans="1:11" ht="15.6">
      <c r="A371" s="1"/>
      <c r="B371" s="1"/>
      <c r="C371" s="1"/>
      <c r="D371" s="1"/>
      <c r="E371" s="1"/>
      <c r="F371" s="1"/>
      <c r="G371" s="1"/>
      <c r="H371" s="1"/>
      <c r="I371" s="6"/>
      <c r="J371" s="12"/>
      <c r="K371" s="1"/>
    </row>
  </sheetData>
  <autoFilter ref="A1:N1" xr:uid="{757B887C-4C07-4F46-AC2E-44A862CA8FA6}"/>
  <phoneticPr fontId="1"/>
  <conditionalFormatting sqref="A2:K27">
    <cfRule type="expression" dxfId="268" priority="75">
      <formula>$E2="卖出"</formula>
    </cfRule>
  </conditionalFormatting>
  <conditionalFormatting sqref="K44 A47:H371 G44:H44 K47:K371">
    <cfRule type="expression" dxfId="267" priority="47">
      <formula>$E44="卖出"</formula>
    </cfRule>
  </conditionalFormatting>
  <conditionalFormatting sqref="I47:J371">
    <cfRule type="expression" dxfId="266" priority="46">
      <formula>$E47="卖出"</formula>
    </cfRule>
  </conditionalFormatting>
  <conditionalFormatting sqref="C2">
    <cfRule type="duplicateValues" dxfId="265" priority="40"/>
  </conditionalFormatting>
  <conditionalFormatting sqref="D28:K41 A28:B41">
    <cfRule type="expression" dxfId="264" priority="38">
      <formula>$E28="卖出"</formula>
    </cfRule>
  </conditionalFormatting>
  <conditionalFormatting sqref="C28:C41">
    <cfRule type="expression" dxfId="263" priority="36">
      <formula>$E28="卖出"</formula>
    </cfRule>
  </conditionalFormatting>
  <conditionalFormatting sqref="C3:C41">
    <cfRule type="duplicateValues" dxfId="262" priority="37"/>
  </conditionalFormatting>
  <conditionalFormatting sqref="L42:O42">
    <cfRule type="expression" dxfId="261" priority="31">
      <formula>$G42="卖出"</formula>
    </cfRule>
  </conditionalFormatting>
  <conditionalFormatting sqref="C42">
    <cfRule type="duplicateValues" dxfId="260" priority="28"/>
  </conditionalFormatting>
  <conditionalFormatting sqref="I42:J42">
    <cfRule type="expression" dxfId="259" priority="26">
      <formula>$E42="卖出"</formula>
    </cfRule>
  </conditionalFormatting>
  <conditionalFormatting sqref="A42:B42 D42:H42 K42">
    <cfRule type="expression" dxfId="258" priority="29">
      <formula>$E42="卖出"</formula>
    </cfRule>
  </conditionalFormatting>
  <conditionalFormatting sqref="C42">
    <cfRule type="expression" dxfId="257" priority="27">
      <formula>$E42="卖出"</formula>
    </cfRule>
  </conditionalFormatting>
  <conditionalFormatting sqref="C43">
    <cfRule type="duplicateValues" dxfId="256" priority="24"/>
  </conditionalFormatting>
  <conditionalFormatting sqref="I43:J43">
    <cfRule type="expression" dxfId="255" priority="22">
      <formula>$E43="卖出"</formula>
    </cfRule>
  </conditionalFormatting>
  <conditionalFormatting sqref="A43:B43 D43:H43 K43">
    <cfRule type="expression" dxfId="254" priority="25">
      <formula>$E43="卖出"</formula>
    </cfRule>
  </conditionalFormatting>
  <conditionalFormatting sqref="C43">
    <cfRule type="expression" dxfId="253" priority="23">
      <formula>$E43="卖出"</formula>
    </cfRule>
  </conditionalFormatting>
  <conditionalFormatting sqref="C44">
    <cfRule type="duplicateValues" dxfId="252" priority="21"/>
  </conditionalFormatting>
  <conditionalFormatting sqref="A44:F44">
    <cfRule type="expression" dxfId="251" priority="20">
      <formula>$E44="卖出"</formula>
    </cfRule>
  </conditionalFormatting>
  <conditionalFormatting sqref="I44:J44">
    <cfRule type="expression" dxfId="250" priority="19">
      <formula>$E44="卖出"</formula>
    </cfRule>
  </conditionalFormatting>
  <conditionalFormatting sqref="A46:F46">
    <cfRule type="expression" dxfId="249" priority="7">
      <formula>$E46="卖出"</formula>
    </cfRule>
  </conditionalFormatting>
  <conditionalFormatting sqref="I46:J46">
    <cfRule type="expression" dxfId="248" priority="6">
      <formula>$E46="卖出"</formula>
    </cfRule>
  </conditionalFormatting>
  <conditionalFormatting sqref="K46 G46:H46">
    <cfRule type="expression" dxfId="247" priority="9">
      <formula>$E46="卖出"</formula>
    </cfRule>
  </conditionalFormatting>
  <conditionalFormatting sqref="C46">
    <cfRule type="duplicateValues" dxfId="246" priority="8"/>
  </conditionalFormatting>
  <conditionalFormatting sqref="K45 G45:H45">
    <cfRule type="expression" dxfId="245" priority="5">
      <formula>$E45="卖出"</formula>
    </cfRule>
  </conditionalFormatting>
  <conditionalFormatting sqref="C45">
    <cfRule type="duplicateValues" dxfId="244" priority="4"/>
  </conditionalFormatting>
  <conditionalFormatting sqref="A45:F45">
    <cfRule type="expression" dxfId="243" priority="3">
      <formula>$E45="卖出"</formula>
    </cfRule>
  </conditionalFormatting>
  <conditionalFormatting sqref="I45:J45">
    <cfRule type="expression" dxfId="242" priority="1">
      <formula>$E45="卖出"</formula>
    </cfRule>
  </conditionalFormatting>
  <dataValidations count="3">
    <dataValidation type="list" allowBlank="1" showInputMessage="1" showErrorMessage="1" sqref="E1:E46" xr:uid="{724240AE-5A84-44CB-A641-DADDD8F3BBFB}">
      <formula1>"留存,卖出"</formula1>
    </dataValidation>
    <dataValidation type="list" allowBlank="1" showInputMessage="1" showErrorMessage="1" sqref="D2:D44" xr:uid="{915ADC32-C836-40C3-B1EA-E971680AF6A9}">
      <formula1>"全新,内袋未拆,拆摆,待定"</formula1>
    </dataValidation>
    <dataValidation type="list" allowBlank="1" showInputMessage="1" showErrorMessage="1" sqref="D45:D46" xr:uid="{B73C38EA-1D4C-4BE5-A34C-57D580F68C28}">
      <formula1>"全新,拆摆,待定"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C1D3-8840-42BA-B9B8-6CFD65A00971}">
  <sheetPr codeName="Sheet7"/>
  <dimension ref="A1:O17"/>
  <sheetViews>
    <sheetView workbookViewId="0">
      <pane ySplit="1" topLeftCell="A2" activePane="bottomLeft" state="frozen"/>
      <selection pane="bottomLeft" activeCell="B1" sqref="B1:L1"/>
    </sheetView>
  </sheetViews>
  <sheetFormatPr defaultRowHeight="14.4"/>
  <cols>
    <col min="1" max="1" width="18.6640625" bestFit="1" customWidth="1"/>
    <col min="2" max="2" width="19.109375" bestFit="1" customWidth="1"/>
    <col min="3" max="3" width="35.33203125" bestFit="1" customWidth="1"/>
    <col min="11" max="11" width="12.5546875" customWidth="1"/>
    <col min="12" max="12" width="20.5546875" customWidth="1"/>
    <col min="14" max="14" width="12" bestFit="1" customWidth="1"/>
  </cols>
  <sheetData>
    <row r="1" spans="1:15" ht="16.2">
      <c r="A1" s="9" t="s">
        <v>12</v>
      </c>
      <c r="B1" s="9" t="s">
        <v>31</v>
      </c>
      <c r="C1" s="9" t="s">
        <v>0</v>
      </c>
      <c r="D1" s="9" t="s">
        <v>7</v>
      </c>
      <c r="E1" s="9" t="s">
        <v>1</v>
      </c>
      <c r="F1" s="9" t="s">
        <v>2</v>
      </c>
      <c r="G1" s="9" t="s">
        <v>11</v>
      </c>
      <c r="H1" s="9" t="s">
        <v>283</v>
      </c>
      <c r="I1" s="9" t="s">
        <v>3</v>
      </c>
      <c r="J1" s="9" t="s">
        <v>280</v>
      </c>
      <c r="K1" s="9" t="s">
        <v>267</v>
      </c>
      <c r="L1" s="9" t="s">
        <v>22</v>
      </c>
    </row>
    <row r="2" spans="1:15" ht="15.6">
      <c r="A2" s="1" t="s">
        <v>383</v>
      </c>
      <c r="B2" s="1" t="s">
        <v>384</v>
      </c>
      <c r="C2" s="1" t="s">
        <v>780</v>
      </c>
      <c r="D2" s="1" t="s">
        <v>343</v>
      </c>
      <c r="E2" s="1">
        <v>232</v>
      </c>
      <c r="F2" s="1" t="s">
        <v>116</v>
      </c>
      <c r="G2" s="1">
        <f t="shared" ref="G2:G7" si="0">E2</f>
        <v>232</v>
      </c>
      <c r="H2" s="1">
        <v>232</v>
      </c>
      <c r="I2" s="1">
        <v>510</v>
      </c>
      <c r="J2" s="6">
        <f>I2-H2</f>
        <v>278</v>
      </c>
      <c r="K2" s="12">
        <f>J2/H2</f>
        <v>1.1982758620689655</v>
      </c>
      <c r="L2" s="1"/>
      <c r="M2" s="6"/>
      <c r="N2" s="8" t="s">
        <v>16</v>
      </c>
      <c r="O2" s="8">
        <f>SUM(G:G)</f>
        <v>8307</v>
      </c>
    </row>
    <row r="3" spans="1:15" ht="15.6">
      <c r="A3" s="1" t="s">
        <v>383</v>
      </c>
      <c r="B3" s="1" t="s">
        <v>385</v>
      </c>
      <c r="C3" s="1" t="s">
        <v>386</v>
      </c>
      <c r="D3" s="1" t="s">
        <v>343</v>
      </c>
      <c r="E3" s="1">
        <v>189</v>
      </c>
      <c r="F3" s="1" t="s">
        <v>116</v>
      </c>
      <c r="G3" s="1">
        <f t="shared" si="0"/>
        <v>189</v>
      </c>
      <c r="H3" s="1">
        <v>189</v>
      </c>
      <c r="I3" s="1">
        <v>328</v>
      </c>
      <c r="J3" s="6">
        <f>I3-H3</f>
        <v>139</v>
      </c>
      <c r="K3" s="12">
        <f>J3/H3</f>
        <v>0.73544973544973546</v>
      </c>
      <c r="L3" s="1"/>
      <c r="M3" s="6"/>
      <c r="N3" s="8" t="s">
        <v>17</v>
      </c>
      <c r="O3" s="8">
        <f>SUM(I:I)</f>
        <v>1406</v>
      </c>
    </row>
    <row r="4" spans="1:15" ht="15.6">
      <c r="A4" s="1"/>
      <c r="B4" s="1" t="s">
        <v>473</v>
      </c>
      <c r="C4" s="1" t="s">
        <v>473</v>
      </c>
      <c r="D4" s="1" t="s">
        <v>343</v>
      </c>
      <c r="E4" s="1">
        <v>390</v>
      </c>
      <c r="F4" s="1" t="s">
        <v>319</v>
      </c>
      <c r="G4" s="1">
        <f t="shared" si="0"/>
        <v>390</v>
      </c>
      <c r="H4" s="1"/>
      <c r="I4" s="1"/>
      <c r="J4" s="6"/>
      <c r="K4" s="12"/>
      <c r="L4" s="1"/>
      <c r="M4" s="6"/>
      <c r="N4" s="2" t="s">
        <v>281</v>
      </c>
      <c r="O4" s="8">
        <f>SUM(H:H)</f>
        <v>846</v>
      </c>
    </row>
    <row r="5" spans="1:15" ht="15.6">
      <c r="A5" s="1" t="s">
        <v>493</v>
      </c>
      <c r="B5" s="1"/>
      <c r="C5" s="1" t="s">
        <v>541</v>
      </c>
      <c r="D5" s="1" t="s">
        <v>343</v>
      </c>
      <c r="E5" s="1">
        <v>550</v>
      </c>
      <c r="F5" s="1" t="s">
        <v>319</v>
      </c>
      <c r="G5" s="1">
        <f t="shared" si="0"/>
        <v>550</v>
      </c>
      <c r="H5" s="1"/>
      <c r="I5" s="1"/>
      <c r="J5" s="6"/>
      <c r="K5" s="12"/>
      <c r="L5" s="1"/>
      <c r="M5" s="6"/>
      <c r="N5" s="8" t="s">
        <v>280</v>
      </c>
      <c r="O5" s="8">
        <f>SUM(J:J)</f>
        <v>560</v>
      </c>
    </row>
    <row r="6" spans="1:15" ht="15.6">
      <c r="A6" s="1" t="s">
        <v>580</v>
      </c>
      <c r="B6" s="1" t="s">
        <v>273</v>
      </c>
      <c r="C6" s="1" t="s">
        <v>551</v>
      </c>
      <c r="D6" s="1" t="s">
        <v>343</v>
      </c>
      <c r="E6" s="1">
        <v>763</v>
      </c>
      <c r="F6" s="1" t="s">
        <v>319</v>
      </c>
      <c r="G6" s="1">
        <f t="shared" si="0"/>
        <v>763</v>
      </c>
      <c r="H6" s="1"/>
      <c r="I6" s="1"/>
      <c r="J6" s="6"/>
      <c r="K6" s="12"/>
      <c r="L6" s="1" t="s">
        <v>637</v>
      </c>
      <c r="N6" s="2" t="s">
        <v>267</v>
      </c>
      <c r="O6" s="16">
        <f>ROUND(O5/O4,4)</f>
        <v>0.66190000000000004</v>
      </c>
    </row>
    <row r="7" spans="1:15" ht="15.6">
      <c r="A7" s="1"/>
      <c r="B7" s="1" t="s">
        <v>273</v>
      </c>
      <c r="C7" s="1" t="s">
        <v>667</v>
      </c>
      <c r="D7" s="1" t="s">
        <v>343</v>
      </c>
      <c r="E7" s="1">
        <v>725</v>
      </c>
      <c r="F7" s="1" t="s">
        <v>319</v>
      </c>
      <c r="G7" s="1">
        <f t="shared" si="0"/>
        <v>725</v>
      </c>
      <c r="H7" s="1"/>
      <c r="I7" s="1"/>
      <c r="J7" s="6"/>
      <c r="K7" s="12"/>
      <c r="L7" s="1" t="s">
        <v>514</v>
      </c>
      <c r="N7" s="8" t="s">
        <v>18</v>
      </c>
      <c r="O7" s="8">
        <f>O2-O3</f>
        <v>6901</v>
      </c>
    </row>
    <row r="8" spans="1:15" ht="15.6">
      <c r="A8" s="1" t="s">
        <v>580</v>
      </c>
      <c r="B8" s="1" t="s">
        <v>902</v>
      </c>
      <c r="C8" s="1" t="s">
        <v>1235</v>
      </c>
      <c r="D8" s="1" t="s">
        <v>343</v>
      </c>
      <c r="E8" s="1">
        <v>705</v>
      </c>
      <c r="F8" s="1" t="s">
        <v>319</v>
      </c>
      <c r="G8" s="1">
        <f t="shared" ref="G8:G17" si="1">E8</f>
        <v>705</v>
      </c>
      <c r="H8" s="1"/>
      <c r="I8" s="1"/>
      <c r="J8" s="6"/>
      <c r="K8" s="12"/>
      <c r="L8" s="1"/>
    </row>
    <row r="9" spans="1:15" ht="15.6">
      <c r="A9" s="1"/>
      <c r="B9" s="1"/>
      <c r="C9" s="1" t="s">
        <v>906</v>
      </c>
      <c r="D9" s="1" t="s">
        <v>343</v>
      </c>
      <c r="E9" s="1">
        <v>320</v>
      </c>
      <c r="F9" s="1" t="s">
        <v>116</v>
      </c>
      <c r="G9" s="1">
        <f t="shared" si="1"/>
        <v>320</v>
      </c>
      <c r="H9" s="1">
        <v>320</v>
      </c>
      <c r="I9" s="1">
        <v>360</v>
      </c>
      <c r="J9" s="6">
        <f>I9-H9</f>
        <v>40</v>
      </c>
      <c r="K9" s="12">
        <f>J9/H9</f>
        <v>0.125</v>
      </c>
      <c r="L9" s="1"/>
    </row>
    <row r="10" spans="1:15" ht="15.6">
      <c r="B10" s="6" t="s">
        <v>896</v>
      </c>
      <c r="C10" s="1" t="s">
        <v>778</v>
      </c>
      <c r="D10" s="1" t="s">
        <v>343</v>
      </c>
      <c r="E10" s="1">
        <v>480</v>
      </c>
      <c r="F10" s="1" t="s">
        <v>319</v>
      </c>
      <c r="G10" s="1">
        <f t="shared" si="1"/>
        <v>480</v>
      </c>
      <c r="L10" s="1" t="s">
        <v>679</v>
      </c>
    </row>
    <row r="11" spans="1:15" ht="15.6">
      <c r="A11" s="1" t="s">
        <v>1047</v>
      </c>
      <c r="B11" s="1" t="s">
        <v>1048</v>
      </c>
      <c r="C11" s="1" t="s">
        <v>1046</v>
      </c>
      <c r="D11" s="1" t="s">
        <v>343</v>
      </c>
      <c r="E11" s="1">
        <v>105</v>
      </c>
      <c r="F11" s="1" t="s">
        <v>116</v>
      </c>
      <c r="G11" s="1">
        <f t="shared" si="1"/>
        <v>105</v>
      </c>
      <c r="H11" s="1">
        <v>105</v>
      </c>
      <c r="I11" s="1">
        <v>208</v>
      </c>
      <c r="J11" s="6">
        <f>I11-H11</f>
        <v>103</v>
      </c>
      <c r="K11" s="12">
        <f>J11/H11</f>
        <v>0.98095238095238091</v>
      </c>
      <c r="L11" s="1" t="s">
        <v>674</v>
      </c>
    </row>
    <row r="12" spans="1:15" ht="15.6">
      <c r="A12" s="1" t="s">
        <v>1047</v>
      </c>
      <c r="B12" s="1" t="s">
        <v>1048</v>
      </c>
      <c r="C12" s="1" t="s">
        <v>1046</v>
      </c>
      <c r="D12" s="1" t="s">
        <v>343</v>
      </c>
      <c r="E12" s="1">
        <v>98</v>
      </c>
      <c r="F12" s="1" t="s">
        <v>319</v>
      </c>
      <c r="G12" s="1">
        <f t="shared" si="1"/>
        <v>98</v>
      </c>
      <c r="L12" s="1" t="s">
        <v>674</v>
      </c>
    </row>
    <row r="13" spans="1:15" ht="15.6">
      <c r="A13" s="6" t="s">
        <v>571</v>
      </c>
      <c r="B13" s="6" t="s">
        <v>898</v>
      </c>
      <c r="C13" s="1" t="s">
        <v>1063</v>
      </c>
      <c r="D13" s="1" t="s">
        <v>343</v>
      </c>
      <c r="E13" s="6">
        <v>710</v>
      </c>
      <c r="F13" s="1" t="s">
        <v>319</v>
      </c>
      <c r="G13" s="1">
        <f t="shared" si="1"/>
        <v>710</v>
      </c>
      <c r="H13" s="6"/>
      <c r="I13" s="6"/>
      <c r="J13" s="6"/>
      <c r="K13" s="6"/>
      <c r="L13" s="1" t="s">
        <v>647</v>
      </c>
      <c r="M13" s="6"/>
      <c r="N13" s="6"/>
    </row>
    <row r="14" spans="1:15" ht="15.6">
      <c r="A14" s="1" t="s">
        <v>613</v>
      </c>
      <c r="B14" s="6" t="s">
        <v>552</v>
      </c>
      <c r="C14" t="s">
        <v>672</v>
      </c>
      <c r="D14" s="1" t="s">
        <v>343</v>
      </c>
      <c r="E14" s="1">
        <v>900</v>
      </c>
      <c r="F14" s="1" t="s">
        <v>319</v>
      </c>
      <c r="G14" s="1">
        <f t="shared" si="1"/>
        <v>900</v>
      </c>
      <c r="L14" s="1" t="s">
        <v>647</v>
      </c>
    </row>
    <row r="15" spans="1:15" ht="15.6">
      <c r="A15" s="6" t="s">
        <v>260</v>
      </c>
      <c r="B15" s="6" t="s">
        <v>544</v>
      </c>
      <c r="C15" s="1" t="s">
        <v>645</v>
      </c>
      <c r="D15" s="1" t="s">
        <v>343</v>
      </c>
      <c r="E15" s="1">
        <v>693</v>
      </c>
      <c r="F15" s="1" t="s">
        <v>319</v>
      </c>
      <c r="G15" s="1">
        <f t="shared" si="1"/>
        <v>693</v>
      </c>
      <c r="L15" s="1" t="s">
        <v>732</v>
      </c>
    </row>
    <row r="16" spans="1:15" ht="15.6">
      <c r="A16" s="1" t="s">
        <v>787</v>
      </c>
      <c r="B16" s="1" t="s">
        <v>552</v>
      </c>
      <c r="C16" t="s">
        <v>973</v>
      </c>
      <c r="D16" s="1" t="s">
        <v>8</v>
      </c>
      <c r="E16" s="6">
        <v>836</v>
      </c>
      <c r="F16" s="1" t="s">
        <v>319</v>
      </c>
      <c r="G16" s="1">
        <f t="shared" si="1"/>
        <v>836</v>
      </c>
      <c r="L16" s="1" t="s">
        <v>1097</v>
      </c>
    </row>
    <row r="17" spans="1:12" ht="15.6">
      <c r="A17" s="1" t="s">
        <v>1047</v>
      </c>
      <c r="B17" s="6" t="s">
        <v>1052</v>
      </c>
      <c r="C17" s="1" t="s">
        <v>1046</v>
      </c>
      <c r="D17" s="1" t="s">
        <v>343</v>
      </c>
      <c r="E17" s="1">
        <v>611</v>
      </c>
      <c r="F17" s="1" t="s">
        <v>319</v>
      </c>
      <c r="G17" s="1">
        <f t="shared" si="1"/>
        <v>611</v>
      </c>
      <c r="L17" s="1" t="s">
        <v>905</v>
      </c>
    </row>
  </sheetData>
  <autoFilter ref="A1:O1" xr:uid="{0426EF1A-5484-4D10-BC68-6B60376C74AF}"/>
  <phoneticPr fontId="1"/>
  <conditionalFormatting sqref="C2 B3 A4:K9 D10:G10 L4:L10 E12 A12:C12 F12:G13 D12:D13 A14 D14:G14 L12:L14 A16:B16 A17 C17:G17 D16:G16 L16:L17 E15 G15">
    <cfRule type="expression" dxfId="241" priority="83">
      <formula>$F2="卖出"</formula>
    </cfRule>
  </conditionalFormatting>
  <conditionalFormatting sqref="C2">
    <cfRule type="duplicateValues" dxfId="240" priority="84"/>
  </conditionalFormatting>
  <conditionalFormatting sqref="B2">
    <cfRule type="expression" dxfId="239" priority="82">
      <formula>$F2="卖出"</formula>
    </cfRule>
  </conditionalFormatting>
  <conditionalFormatting sqref="A2">
    <cfRule type="expression" dxfId="238" priority="81">
      <formula>$F2="卖出"</formula>
    </cfRule>
  </conditionalFormatting>
  <conditionalFormatting sqref="D2:I2 L2">
    <cfRule type="expression" dxfId="237" priority="80">
      <formula>$F2="卖出"</formula>
    </cfRule>
  </conditionalFormatting>
  <conditionalFormatting sqref="C3">
    <cfRule type="expression" dxfId="236" priority="78">
      <formula>$F3="卖出"</formula>
    </cfRule>
  </conditionalFormatting>
  <conditionalFormatting sqref="C3">
    <cfRule type="duplicateValues" dxfId="235" priority="79"/>
  </conditionalFormatting>
  <conditionalFormatting sqref="A3">
    <cfRule type="expression" dxfId="234" priority="76">
      <formula>$F3="卖出"</formula>
    </cfRule>
  </conditionalFormatting>
  <conditionalFormatting sqref="D3:I3 L3">
    <cfRule type="expression" dxfId="233" priority="75">
      <formula>$F3="卖出"</formula>
    </cfRule>
  </conditionalFormatting>
  <conditionalFormatting sqref="J3:K3">
    <cfRule type="expression" dxfId="232" priority="74">
      <formula>$F3="卖出"</formula>
    </cfRule>
  </conditionalFormatting>
  <conditionalFormatting sqref="C4:C9">
    <cfRule type="duplicateValues" dxfId="231" priority="68"/>
  </conditionalFormatting>
  <conditionalFormatting sqref="C12">
    <cfRule type="duplicateValues" dxfId="230" priority="60"/>
  </conditionalFormatting>
  <conditionalFormatting sqref="C17">
    <cfRule type="duplicateValues" dxfId="229" priority="53"/>
  </conditionalFormatting>
  <conditionalFormatting sqref="B10:C10 A13:C13 E13 H13:K13 M13:N13">
    <cfRule type="expression" dxfId="228" priority="43">
      <formula>$G10="卖出"</formula>
    </cfRule>
  </conditionalFormatting>
  <conditionalFormatting sqref="C10">
    <cfRule type="duplicateValues" dxfId="227" priority="44"/>
  </conditionalFormatting>
  <conditionalFormatting sqref="C10">
    <cfRule type="duplicateValues" dxfId="226" priority="42"/>
  </conditionalFormatting>
  <conditionalFormatting sqref="C13">
    <cfRule type="duplicateValues" dxfId="225" priority="30"/>
  </conditionalFormatting>
  <conditionalFormatting sqref="M13">
    <cfRule type="expression" dxfId="224" priority="2682">
      <formula>$E13="卖出"</formula>
    </cfRule>
  </conditionalFormatting>
  <conditionalFormatting sqref="M13">
    <cfRule type="expression" dxfId="223" priority="2683">
      <formula>$G13="卖出"</formula>
    </cfRule>
    <cfRule type="expression" dxfId="222" priority="2684">
      <formula>$E13="卖出"</formula>
    </cfRule>
  </conditionalFormatting>
  <conditionalFormatting sqref="J2:K2">
    <cfRule type="expression" dxfId="221" priority="19">
      <formula>$F2="卖出"</formula>
    </cfRule>
  </conditionalFormatting>
  <conditionalFormatting sqref="A11:I11 L11">
    <cfRule type="expression" dxfId="220" priority="18">
      <formula>$F11="卖出"</formula>
    </cfRule>
  </conditionalFormatting>
  <conditionalFormatting sqref="C11">
    <cfRule type="duplicateValues" dxfId="219" priority="17"/>
  </conditionalFormatting>
  <conditionalFormatting sqref="J11:K11">
    <cfRule type="expression" dxfId="218" priority="16">
      <formula>$F11="卖出"</formula>
    </cfRule>
  </conditionalFormatting>
  <conditionalFormatting sqref="D15">
    <cfRule type="expression" dxfId="217" priority="6">
      <formula>$F15="卖出"</formula>
    </cfRule>
  </conditionalFormatting>
  <conditionalFormatting sqref="F15">
    <cfRule type="expression" dxfId="216" priority="5">
      <formula>$F15="卖出"</formula>
    </cfRule>
  </conditionalFormatting>
  <conditionalFormatting sqref="C15">
    <cfRule type="expression" dxfId="215" priority="4">
      <formula>$F15="卖出"</formula>
    </cfRule>
  </conditionalFormatting>
  <conditionalFormatting sqref="C15">
    <cfRule type="duplicateValues" dxfId="214" priority="3"/>
  </conditionalFormatting>
  <conditionalFormatting sqref="A15:B15">
    <cfRule type="expression" dxfId="213" priority="2">
      <formula>$G15="卖出"</formula>
    </cfRule>
  </conditionalFormatting>
  <conditionalFormatting sqref="L15">
    <cfRule type="expression" dxfId="212" priority="1">
      <formula>$F15="卖出"</formula>
    </cfRule>
  </conditionalFormatting>
  <dataValidations count="2">
    <dataValidation type="list" allowBlank="1" showInputMessage="1" showErrorMessage="1" sqref="F1:F14 F15:F17" xr:uid="{94EB307C-6F25-4ED4-B00A-3C5EB50615AF}">
      <formula1>"留存,卖出"</formula1>
    </dataValidation>
    <dataValidation type="list" allowBlank="1" showInputMessage="1" showErrorMessage="1" sqref="D2:D14 D15:D17" xr:uid="{56C35027-C139-42A9-8446-EC1DD13937E3}">
      <formula1>"全新,拆摆,待定"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403DC-3C56-40F8-A406-035EB2696F44}">
  <sheetPr codeName="Sheet8"/>
  <dimension ref="A1:N7"/>
  <sheetViews>
    <sheetView topLeftCell="A10" workbookViewId="0">
      <selection activeCell="B1" sqref="B1:K1"/>
    </sheetView>
  </sheetViews>
  <sheetFormatPr defaultRowHeight="14.4"/>
  <cols>
    <col min="1" max="1" width="9.5546875" bestFit="1" customWidth="1"/>
    <col min="3" max="3" width="28.6640625" bestFit="1" customWidth="1"/>
    <col min="13" max="13" width="12" bestFit="1" customWidth="1"/>
  </cols>
  <sheetData>
    <row r="1" spans="1:14" ht="16.2">
      <c r="A1" s="9" t="s">
        <v>12</v>
      </c>
      <c r="B1" s="9" t="s">
        <v>31</v>
      </c>
      <c r="C1" s="9" t="s">
        <v>0</v>
      </c>
      <c r="D1" s="9" t="s">
        <v>7</v>
      </c>
      <c r="E1" s="9" t="s">
        <v>2</v>
      </c>
      <c r="F1" s="9" t="s">
        <v>11</v>
      </c>
      <c r="G1" s="9" t="s">
        <v>279</v>
      </c>
      <c r="H1" s="9" t="s">
        <v>3</v>
      </c>
      <c r="I1" s="9" t="s">
        <v>280</v>
      </c>
      <c r="J1" s="9" t="s">
        <v>267</v>
      </c>
      <c r="K1" s="9" t="s">
        <v>22</v>
      </c>
    </row>
    <row r="2" spans="1:14" ht="15.6">
      <c r="A2" s="1" t="s">
        <v>273</v>
      </c>
      <c r="B2" s="1"/>
      <c r="C2" s="1" t="s">
        <v>434</v>
      </c>
      <c r="D2" s="1" t="s">
        <v>8</v>
      </c>
      <c r="E2" s="6" t="s">
        <v>116</v>
      </c>
      <c r="F2" s="6">
        <v>899</v>
      </c>
      <c r="G2" s="6">
        <v>899</v>
      </c>
      <c r="H2" s="6">
        <v>1440</v>
      </c>
      <c r="I2" s="6">
        <f>H2-G2</f>
        <v>541</v>
      </c>
      <c r="J2" s="12">
        <f>I2/G2</f>
        <v>0.60177975528364847</v>
      </c>
      <c r="K2" s="1" t="s">
        <v>1135</v>
      </c>
      <c r="M2" s="8" t="s">
        <v>16</v>
      </c>
      <c r="N2" s="15">
        <f>SUM(F:F)</f>
        <v>1797</v>
      </c>
    </row>
    <row r="3" spans="1:14" ht="15.6">
      <c r="A3" s="1" t="s">
        <v>1136</v>
      </c>
      <c r="B3" s="1" t="s">
        <v>1137</v>
      </c>
      <c r="C3" s="1" t="s">
        <v>576</v>
      </c>
      <c r="D3" s="1" t="s">
        <v>8</v>
      </c>
      <c r="E3" s="6" t="s">
        <v>319</v>
      </c>
      <c r="F3" s="6">
        <v>449</v>
      </c>
      <c r="G3" s="6"/>
      <c r="H3" s="6"/>
      <c r="I3" s="6"/>
      <c r="J3" s="12"/>
      <c r="K3" s="1"/>
      <c r="M3" s="8" t="s">
        <v>17</v>
      </c>
      <c r="N3" s="15">
        <f>SUM(H:H)</f>
        <v>1440</v>
      </c>
    </row>
    <row r="4" spans="1:14" ht="15.6">
      <c r="A4" s="1" t="s">
        <v>1136</v>
      </c>
      <c r="B4" s="1" t="s">
        <v>1137</v>
      </c>
      <c r="C4" s="1" t="s">
        <v>1138</v>
      </c>
      <c r="D4" s="1" t="s">
        <v>8</v>
      </c>
      <c r="E4" s="6" t="s">
        <v>319</v>
      </c>
      <c r="F4" s="6">
        <v>449</v>
      </c>
      <c r="K4" s="1" t="s">
        <v>710</v>
      </c>
      <c r="M4" s="2" t="s">
        <v>281</v>
      </c>
      <c r="N4" s="15">
        <f>SUM(G:G)</f>
        <v>899</v>
      </c>
    </row>
    <row r="5" spans="1:14" ht="15.6">
      <c r="M5" s="8" t="s">
        <v>280</v>
      </c>
      <c r="N5" s="15">
        <f>SUM(I:I)</f>
        <v>541</v>
      </c>
    </row>
    <row r="6" spans="1:14" ht="15.6">
      <c r="M6" s="2" t="s">
        <v>267</v>
      </c>
      <c r="N6" s="16">
        <f>ROUND(N5/N4,4)</f>
        <v>0.6018</v>
      </c>
    </row>
    <row r="7" spans="1:14" ht="15.6">
      <c r="M7" s="8" t="s">
        <v>18</v>
      </c>
      <c r="N7" s="15">
        <f>N2-N3</f>
        <v>357</v>
      </c>
    </row>
  </sheetData>
  <autoFilter ref="A1:N1" xr:uid="{5AA0203E-9C05-48B4-84FD-A22878931F17}"/>
  <phoneticPr fontId="1"/>
  <conditionalFormatting sqref="A2:H2 K2">
    <cfRule type="expression" dxfId="211" priority="15">
      <formula>$E2="卖出"</formula>
    </cfRule>
  </conditionalFormatting>
  <conditionalFormatting sqref="I2:J2">
    <cfRule type="expression" dxfId="210" priority="9">
      <formula>$E2="卖出"</formula>
    </cfRule>
  </conditionalFormatting>
  <conditionalFormatting sqref="A3:H3 K3">
    <cfRule type="expression" dxfId="209" priority="4">
      <formula>$E3="卖出"</formula>
    </cfRule>
  </conditionalFormatting>
  <conditionalFormatting sqref="I3:J3">
    <cfRule type="expression" dxfId="208" priority="3">
      <formula>$E3="卖出"</formula>
    </cfRule>
  </conditionalFormatting>
  <conditionalFormatting sqref="K4">
    <cfRule type="expression" dxfId="207" priority="1">
      <formula>$E4="卖出"</formula>
    </cfRule>
  </conditionalFormatting>
  <conditionalFormatting sqref="A4:F4">
    <cfRule type="expression" dxfId="206" priority="2">
      <formula>$E4="卖出"</formula>
    </cfRule>
  </conditionalFormatting>
  <dataValidations count="2">
    <dataValidation type="list" allowBlank="1" showInputMessage="1" showErrorMessage="1" sqref="D2:D4" xr:uid="{D3C8A6E8-1EC9-41DF-A5D8-D90CD7D73D74}">
      <formula1>"全新,内袋未拆,拆摆,待定"</formula1>
    </dataValidation>
    <dataValidation type="list" allowBlank="1" showInputMessage="1" showErrorMessage="1" sqref="E1:E4" xr:uid="{4EFA81C7-E635-4914-932D-18CE6D22189E}">
      <formula1>"留存,卖出"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1050-8199-4F8B-B93B-CBDAB3C63E50}">
  <sheetPr codeName="Sheet9"/>
  <dimension ref="A1:N70"/>
  <sheetViews>
    <sheetView topLeftCell="A52" workbookViewId="0">
      <selection activeCell="K80" sqref="K80"/>
    </sheetView>
  </sheetViews>
  <sheetFormatPr defaultRowHeight="14.4"/>
  <cols>
    <col min="1" max="1" width="16.44140625" bestFit="1" customWidth="1"/>
    <col min="2" max="2" width="18.44140625" bestFit="1" customWidth="1"/>
    <col min="3" max="3" width="21" bestFit="1" customWidth="1"/>
    <col min="4" max="4" width="12.6640625" bestFit="1" customWidth="1"/>
    <col min="6" max="6" width="8.109375" bestFit="1" customWidth="1"/>
    <col min="7" max="8" width="12.6640625" bestFit="1" customWidth="1"/>
    <col min="9" max="9" width="8.109375" bestFit="1" customWidth="1"/>
    <col min="10" max="10" width="10.44140625" style="4" bestFit="1" customWidth="1"/>
    <col min="11" max="11" width="17" bestFit="1" customWidth="1"/>
    <col min="13" max="13" width="12" bestFit="1" customWidth="1"/>
  </cols>
  <sheetData>
    <row r="1" spans="1:14" ht="16.2">
      <c r="A1" s="9" t="s">
        <v>12</v>
      </c>
      <c r="B1" s="9" t="s">
        <v>31</v>
      </c>
      <c r="C1" s="9" t="s">
        <v>0</v>
      </c>
      <c r="D1" s="9" t="s">
        <v>7</v>
      </c>
      <c r="E1" s="9" t="s">
        <v>2</v>
      </c>
      <c r="F1" s="9" t="s">
        <v>11</v>
      </c>
      <c r="G1" s="9" t="s">
        <v>283</v>
      </c>
      <c r="H1" s="9" t="s">
        <v>3</v>
      </c>
      <c r="I1" s="9" t="s">
        <v>280</v>
      </c>
      <c r="J1" s="9" t="s">
        <v>267</v>
      </c>
      <c r="K1" s="9" t="s">
        <v>22</v>
      </c>
    </row>
    <row r="2" spans="1:14" ht="15.6">
      <c r="A2" s="6" t="s">
        <v>403</v>
      </c>
      <c r="B2" s="6" t="s">
        <v>611</v>
      </c>
      <c r="C2" s="1" t="s">
        <v>404</v>
      </c>
      <c r="D2" s="6" t="s">
        <v>343</v>
      </c>
      <c r="E2" s="6" t="s">
        <v>116</v>
      </c>
      <c r="F2" s="6">
        <v>240</v>
      </c>
      <c r="G2" s="6">
        <v>240</v>
      </c>
      <c r="H2" s="6">
        <v>285</v>
      </c>
      <c r="I2" s="6">
        <f>H2-G2</f>
        <v>45</v>
      </c>
      <c r="J2" s="12">
        <f>I2/G2</f>
        <v>0.1875</v>
      </c>
      <c r="K2" s="10" t="s">
        <v>300</v>
      </c>
      <c r="L2" s="6"/>
      <c r="M2" s="8" t="s">
        <v>16</v>
      </c>
      <c r="N2" s="15">
        <f>SUM(F:F)</f>
        <v>10445</v>
      </c>
    </row>
    <row r="3" spans="1:14" ht="15.6">
      <c r="A3" s="6" t="s">
        <v>400</v>
      </c>
      <c r="B3" s="6" t="s">
        <v>544</v>
      </c>
      <c r="C3" s="1" t="s">
        <v>1250</v>
      </c>
      <c r="D3" s="6" t="s">
        <v>343</v>
      </c>
      <c r="E3" s="6" t="s">
        <v>319</v>
      </c>
      <c r="F3" s="6">
        <v>450</v>
      </c>
      <c r="G3" s="6"/>
      <c r="H3" s="6"/>
      <c r="I3" s="6"/>
      <c r="J3" s="12"/>
      <c r="K3" s="10" t="s">
        <v>332</v>
      </c>
      <c r="L3" s="6"/>
      <c r="M3" s="8" t="s">
        <v>17</v>
      </c>
      <c r="N3" s="15">
        <f>SUM(H:H)</f>
        <v>1121</v>
      </c>
    </row>
    <row r="4" spans="1:14" ht="15.6">
      <c r="A4" s="6" t="s">
        <v>402</v>
      </c>
      <c r="B4" s="6" t="s">
        <v>273</v>
      </c>
      <c r="C4" s="1" t="s">
        <v>401</v>
      </c>
      <c r="D4" s="6" t="s">
        <v>343</v>
      </c>
      <c r="E4" s="6" t="s">
        <v>319</v>
      </c>
      <c r="F4" s="6">
        <v>755</v>
      </c>
      <c r="G4" s="6"/>
      <c r="H4" s="6"/>
      <c r="I4" s="6"/>
      <c r="J4" s="12"/>
      <c r="K4" s="10" t="s">
        <v>512</v>
      </c>
      <c r="L4" s="6"/>
      <c r="M4" s="2" t="s">
        <v>281</v>
      </c>
      <c r="N4" s="15">
        <f>SUM(G:G)</f>
        <v>1005</v>
      </c>
    </row>
    <row r="5" spans="1:14" ht="15.6">
      <c r="A5" s="6" t="s">
        <v>395</v>
      </c>
      <c r="B5" s="6" t="s">
        <v>273</v>
      </c>
      <c r="C5" s="1" t="s">
        <v>550</v>
      </c>
      <c r="D5" s="6" t="s">
        <v>343</v>
      </c>
      <c r="E5" s="6" t="s">
        <v>319</v>
      </c>
      <c r="F5" s="6">
        <v>360</v>
      </c>
      <c r="G5" s="6"/>
      <c r="H5" s="6"/>
      <c r="I5" s="6"/>
      <c r="J5" s="12"/>
      <c r="K5" s="10" t="s">
        <v>554</v>
      </c>
      <c r="L5" s="6"/>
      <c r="M5" s="8" t="s">
        <v>280</v>
      </c>
      <c r="N5" s="15">
        <f>SUM(I:I)</f>
        <v>116</v>
      </c>
    </row>
    <row r="6" spans="1:14" ht="15.6">
      <c r="A6" s="6" t="s">
        <v>574</v>
      </c>
      <c r="B6" s="6" t="s">
        <v>499</v>
      </c>
      <c r="C6" s="1" t="s">
        <v>671</v>
      </c>
      <c r="D6" s="6" t="s">
        <v>343</v>
      </c>
      <c r="E6" s="6" t="s">
        <v>319</v>
      </c>
      <c r="F6" s="6">
        <v>520</v>
      </c>
      <c r="G6" s="6"/>
      <c r="H6" s="6"/>
      <c r="I6" s="6"/>
      <c r="J6" s="12"/>
      <c r="K6" s="10" t="s">
        <v>561</v>
      </c>
      <c r="M6" s="2" t="s">
        <v>267</v>
      </c>
      <c r="N6" s="16">
        <f>ROUND(N5/N4,4)</f>
        <v>0.1154</v>
      </c>
    </row>
    <row r="7" spans="1:14" ht="15.6">
      <c r="A7" s="6" t="s">
        <v>574</v>
      </c>
      <c r="B7" s="6" t="s">
        <v>38</v>
      </c>
      <c r="C7" s="1" t="s">
        <v>681</v>
      </c>
      <c r="D7" s="6" t="s">
        <v>8</v>
      </c>
      <c r="E7" s="6" t="s">
        <v>319</v>
      </c>
      <c r="F7" s="6">
        <v>750</v>
      </c>
      <c r="G7" s="6"/>
      <c r="H7" s="6"/>
      <c r="I7" s="6"/>
      <c r="J7" s="12"/>
      <c r="K7" s="10"/>
      <c r="M7" s="8" t="s">
        <v>18</v>
      </c>
      <c r="N7" s="15">
        <f>N2-N3</f>
        <v>9324</v>
      </c>
    </row>
    <row r="8" spans="1:14" ht="15.6">
      <c r="A8" s="6" t="s">
        <v>574</v>
      </c>
      <c r="B8" s="6" t="s">
        <v>38</v>
      </c>
      <c r="C8" s="1" t="s">
        <v>695</v>
      </c>
      <c r="D8" s="6" t="s">
        <v>343</v>
      </c>
      <c r="E8" s="6" t="s">
        <v>319</v>
      </c>
      <c r="F8" s="6">
        <v>230</v>
      </c>
      <c r="G8" s="6"/>
      <c r="H8" s="6"/>
      <c r="I8" s="6"/>
      <c r="J8" s="12"/>
      <c r="K8" s="10"/>
    </row>
    <row r="9" spans="1:14" ht="15.6">
      <c r="A9" s="6" t="s">
        <v>13</v>
      </c>
      <c r="B9" s="6" t="s">
        <v>405</v>
      </c>
      <c r="C9" s="1" t="s">
        <v>696</v>
      </c>
      <c r="D9" s="6" t="s">
        <v>8</v>
      </c>
      <c r="E9" s="6" t="s">
        <v>5</v>
      </c>
      <c r="F9" s="6">
        <v>580</v>
      </c>
      <c r="G9" s="6"/>
      <c r="H9" s="6"/>
      <c r="I9" s="6"/>
      <c r="J9" s="12"/>
      <c r="K9" s="10"/>
    </row>
    <row r="10" spans="1:14" ht="15.6">
      <c r="A10" s="6" t="s">
        <v>13</v>
      </c>
      <c r="B10" s="6" t="s">
        <v>716</v>
      </c>
      <c r="C10" s="1" t="s">
        <v>715</v>
      </c>
      <c r="D10" s="6" t="s">
        <v>8</v>
      </c>
      <c r="E10" s="6" t="s">
        <v>5</v>
      </c>
      <c r="F10" s="6">
        <v>50</v>
      </c>
      <c r="G10" s="6"/>
      <c r="H10" s="6"/>
      <c r="I10" s="6"/>
      <c r="J10" s="12"/>
      <c r="K10" s="10"/>
    </row>
    <row r="11" spans="1:14" ht="15.6">
      <c r="A11" s="6" t="s">
        <v>13</v>
      </c>
      <c r="B11" s="6" t="s">
        <v>717</v>
      </c>
      <c r="C11" s="1" t="s">
        <v>718</v>
      </c>
      <c r="D11" s="6" t="s">
        <v>8</v>
      </c>
      <c r="E11" s="6" t="s">
        <v>5</v>
      </c>
      <c r="F11" s="6">
        <v>58</v>
      </c>
      <c r="G11" s="6"/>
      <c r="H11" s="6"/>
      <c r="I11" s="6"/>
      <c r="J11" s="12"/>
      <c r="K11" s="10"/>
    </row>
    <row r="12" spans="1:14" ht="15.6">
      <c r="A12" s="6" t="s">
        <v>13</v>
      </c>
      <c r="B12" s="6" t="s">
        <v>717</v>
      </c>
      <c r="C12" s="1" t="s">
        <v>719</v>
      </c>
      <c r="D12" s="6" t="s">
        <v>8</v>
      </c>
      <c r="E12" s="6" t="s">
        <v>5</v>
      </c>
      <c r="F12" s="6">
        <v>85</v>
      </c>
      <c r="G12" s="6"/>
      <c r="H12" s="6"/>
      <c r="I12" s="6"/>
      <c r="J12" s="12"/>
      <c r="K12" s="10"/>
    </row>
    <row r="13" spans="1:14" ht="15.6">
      <c r="A13" s="6" t="s">
        <v>574</v>
      </c>
      <c r="B13" s="6" t="s">
        <v>38</v>
      </c>
      <c r="C13" s="1" t="s">
        <v>728</v>
      </c>
      <c r="D13" s="6" t="s">
        <v>8</v>
      </c>
      <c r="E13" s="6" t="s">
        <v>5</v>
      </c>
      <c r="F13" s="6">
        <v>90</v>
      </c>
      <c r="G13" s="6"/>
      <c r="H13" s="6"/>
      <c r="I13" s="6"/>
      <c r="J13" s="12"/>
      <c r="K13" s="10"/>
    </row>
    <row r="14" spans="1:14" ht="15.6">
      <c r="A14" s="6" t="s">
        <v>574</v>
      </c>
      <c r="B14" s="6" t="s">
        <v>38</v>
      </c>
      <c r="C14" s="1" t="s">
        <v>727</v>
      </c>
      <c r="D14" s="6" t="s">
        <v>8</v>
      </c>
      <c r="E14" s="6" t="s">
        <v>5</v>
      </c>
      <c r="F14" s="6">
        <v>180</v>
      </c>
      <c r="G14" s="6"/>
      <c r="H14" s="6"/>
      <c r="I14" s="6"/>
      <c r="J14" s="12"/>
      <c r="K14" s="10"/>
    </row>
    <row r="15" spans="1:14" ht="15.6">
      <c r="A15" s="6" t="s">
        <v>574</v>
      </c>
      <c r="B15" s="6" t="s">
        <v>38</v>
      </c>
      <c r="C15" s="1" t="s">
        <v>726</v>
      </c>
      <c r="D15" s="6" t="s">
        <v>8</v>
      </c>
      <c r="E15" s="6" t="s">
        <v>5</v>
      </c>
      <c r="F15" s="6">
        <v>80</v>
      </c>
      <c r="G15" s="6"/>
      <c r="H15" s="6"/>
      <c r="I15" s="6"/>
      <c r="J15" s="12"/>
      <c r="K15" s="10"/>
    </row>
    <row r="16" spans="1:14" ht="15.6">
      <c r="A16" s="6" t="s">
        <v>574</v>
      </c>
      <c r="B16" s="6" t="s">
        <v>38</v>
      </c>
      <c r="C16" s="1" t="s">
        <v>739</v>
      </c>
      <c r="D16" s="6" t="s">
        <v>343</v>
      </c>
      <c r="E16" s="6" t="s">
        <v>5</v>
      </c>
      <c r="F16" s="6">
        <v>107</v>
      </c>
      <c r="G16" s="6"/>
      <c r="H16" s="6"/>
      <c r="I16" s="6"/>
      <c r="J16" s="12"/>
      <c r="K16" s="10" t="s">
        <v>774</v>
      </c>
    </row>
    <row r="17" spans="1:11" ht="15.6">
      <c r="A17" s="6" t="s">
        <v>574</v>
      </c>
      <c r="B17" s="6" t="s">
        <v>38</v>
      </c>
      <c r="C17" s="1" t="s">
        <v>773</v>
      </c>
      <c r="D17" s="6" t="s">
        <v>343</v>
      </c>
      <c r="E17" s="6" t="s">
        <v>5</v>
      </c>
      <c r="F17" s="6">
        <v>184</v>
      </c>
      <c r="G17" s="6"/>
      <c r="H17" s="6"/>
      <c r="I17" s="6"/>
      <c r="J17" s="12"/>
      <c r="K17" s="10" t="s">
        <v>774</v>
      </c>
    </row>
    <row r="18" spans="1:11" ht="15.6">
      <c r="A18" s="6" t="s">
        <v>574</v>
      </c>
      <c r="B18" s="6" t="s">
        <v>38</v>
      </c>
      <c r="C18" s="1" t="s">
        <v>832</v>
      </c>
      <c r="D18" s="6" t="s">
        <v>343</v>
      </c>
      <c r="E18" s="6" t="s">
        <v>5</v>
      </c>
      <c r="F18" s="6">
        <v>200</v>
      </c>
      <c r="G18" s="6"/>
      <c r="H18" s="6"/>
      <c r="I18" s="6"/>
      <c r="J18" s="12"/>
      <c r="K18" s="10" t="s">
        <v>774</v>
      </c>
    </row>
    <row r="19" spans="1:11" ht="15.6">
      <c r="A19" s="6" t="s">
        <v>574</v>
      </c>
      <c r="B19" s="6" t="s">
        <v>38</v>
      </c>
      <c r="C19" s="1" t="s">
        <v>864</v>
      </c>
      <c r="D19" s="6" t="s">
        <v>343</v>
      </c>
      <c r="E19" s="6" t="s">
        <v>5</v>
      </c>
      <c r="F19" s="6">
        <v>315</v>
      </c>
      <c r="G19" s="6"/>
      <c r="H19" s="6"/>
      <c r="I19" s="6"/>
      <c r="J19" s="12"/>
      <c r="K19" s="10" t="s">
        <v>774</v>
      </c>
    </row>
    <row r="20" spans="1:11" ht="15.6">
      <c r="A20" s="6" t="s">
        <v>574</v>
      </c>
      <c r="B20" s="6" t="s">
        <v>38</v>
      </c>
      <c r="C20" s="1" t="s">
        <v>984</v>
      </c>
      <c r="D20" s="6" t="s">
        <v>343</v>
      </c>
      <c r="E20" s="6" t="s">
        <v>5</v>
      </c>
      <c r="F20" s="6">
        <v>360</v>
      </c>
      <c r="G20" s="6"/>
      <c r="H20" s="6"/>
      <c r="I20" s="6"/>
      <c r="J20" s="12"/>
      <c r="K20" s="10" t="s">
        <v>983</v>
      </c>
    </row>
    <row r="21" spans="1:11" ht="15.6">
      <c r="A21" s="6" t="s">
        <v>574</v>
      </c>
      <c r="B21" s="6" t="s">
        <v>38</v>
      </c>
      <c r="C21" s="1" t="s">
        <v>985</v>
      </c>
      <c r="D21" s="6" t="s">
        <v>343</v>
      </c>
      <c r="E21" s="6" t="s">
        <v>5</v>
      </c>
      <c r="F21" s="6">
        <v>55</v>
      </c>
      <c r="G21" s="6"/>
      <c r="H21" s="6"/>
      <c r="I21" s="6"/>
      <c r="J21" s="12"/>
      <c r="K21" s="10" t="s">
        <v>983</v>
      </c>
    </row>
    <row r="22" spans="1:11" ht="15.6">
      <c r="A22" s="6" t="s">
        <v>574</v>
      </c>
      <c r="B22" s="6" t="s">
        <v>38</v>
      </c>
      <c r="C22" s="1" t="s">
        <v>1099</v>
      </c>
      <c r="D22" s="6" t="s">
        <v>343</v>
      </c>
      <c r="E22" s="6" t="s">
        <v>5</v>
      </c>
      <c r="F22" s="6">
        <v>78</v>
      </c>
      <c r="G22" s="6"/>
      <c r="H22" s="6"/>
      <c r="I22" s="6"/>
      <c r="J22" s="12"/>
      <c r="K22" s="10" t="s">
        <v>983</v>
      </c>
    </row>
    <row r="23" spans="1:11" ht="15.6">
      <c r="A23" s="6" t="s">
        <v>574</v>
      </c>
      <c r="B23" s="6" t="s">
        <v>38</v>
      </c>
      <c r="C23" s="1" t="s">
        <v>1086</v>
      </c>
      <c r="D23" s="6" t="s">
        <v>343</v>
      </c>
      <c r="E23" s="6" t="s">
        <v>5</v>
      </c>
      <c r="F23" s="6">
        <v>40</v>
      </c>
      <c r="G23" s="6"/>
      <c r="H23" s="6"/>
      <c r="I23" s="6"/>
      <c r="J23" s="12"/>
      <c r="K23" s="10" t="s">
        <v>1161</v>
      </c>
    </row>
    <row r="24" spans="1:11" ht="15.6">
      <c r="A24" s="6" t="s">
        <v>574</v>
      </c>
      <c r="B24" s="6" t="s">
        <v>38</v>
      </c>
      <c r="C24" s="1" t="s">
        <v>1162</v>
      </c>
      <c r="D24" s="6" t="s">
        <v>343</v>
      </c>
      <c r="E24" s="6" t="s">
        <v>5</v>
      </c>
      <c r="F24" s="6">
        <v>62</v>
      </c>
      <c r="G24" s="6"/>
      <c r="H24" s="6"/>
      <c r="I24" s="6"/>
      <c r="J24" s="12"/>
      <c r="K24" s="10" t="s">
        <v>983</v>
      </c>
    </row>
    <row r="25" spans="1:11" ht="15.6">
      <c r="A25" s="6" t="s">
        <v>574</v>
      </c>
      <c r="B25" s="6" t="s">
        <v>38</v>
      </c>
      <c r="C25" s="1" t="s">
        <v>1163</v>
      </c>
      <c r="D25" s="6" t="s">
        <v>343</v>
      </c>
      <c r="E25" s="6" t="s">
        <v>5</v>
      </c>
      <c r="F25" s="6">
        <v>55</v>
      </c>
      <c r="G25" s="6"/>
      <c r="H25" s="6"/>
      <c r="I25" s="6"/>
      <c r="J25" s="12"/>
      <c r="K25" s="10" t="s">
        <v>983</v>
      </c>
    </row>
    <row r="26" spans="1:11" ht="15.6">
      <c r="A26" s="6" t="s">
        <v>574</v>
      </c>
      <c r="B26" s="6" t="s">
        <v>38</v>
      </c>
      <c r="C26" s="1" t="s">
        <v>1164</v>
      </c>
      <c r="D26" s="6" t="s">
        <v>343</v>
      </c>
      <c r="E26" s="6" t="s">
        <v>5</v>
      </c>
      <c r="F26" s="6">
        <v>58</v>
      </c>
      <c r="G26" s="6"/>
      <c r="H26" s="6"/>
      <c r="I26" s="6"/>
      <c r="J26" s="12"/>
      <c r="K26" s="10" t="s">
        <v>983</v>
      </c>
    </row>
    <row r="27" spans="1:11" ht="15.6">
      <c r="A27" s="6" t="s">
        <v>574</v>
      </c>
      <c r="B27" s="6" t="s">
        <v>38</v>
      </c>
      <c r="C27" s="1" t="s">
        <v>1165</v>
      </c>
      <c r="D27" s="6" t="s">
        <v>343</v>
      </c>
      <c r="E27" s="6" t="s">
        <v>5</v>
      </c>
      <c r="F27" s="6">
        <v>58</v>
      </c>
      <c r="G27" s="6"/>
      <c r="H27" s="6"/>
      <c r="I27" s="6"/>
      <c r="J27" s="12"/>
      <c r="K27" s="10" t="s">
        <v>1169</v>
      </c>
    </row>
    <row r="28" spans="1:11" ht="15.6">
      <c r="A28" s="6" t="s">
        <v>574</v>
      </c>
      <c r="B28" s="6" t="s">
        <v>38</v>
      </c>
      <c r="C28" s="1" t="s">
        <v>1166</v>
      </c>
      <c r="D28" s="6" t="s">
        <v>343</v>
      </c>
      <c r="E28" s="6" t="s">
        <v>5</v>
      </c>
      <c r="F28" s="6">
        <v>61</v>
      </c>
      <c r="G28" s="6"/>
      <c r="H28" s="6"/>
      <c r="I28" s="6"/>
      <c r="J28" s="12"/>
      <c r="K28" s="10" t="s">
        <v>983</v>
      </c>
    </row>
    <row r="29" spans="1:11" ht="15.6">
      <c r="A29" s="6" t="s">
        <v>574</v>
      </c>
      <c r="B29" s="6" t="s">
        <v>38</v>
      </c>
      <c r="C29" s="1" t="s">
        <v>1167</v>
      </c>
      <c r="D29" s="6" t="s">
        <v>343</v>
      </c>
      <c r="E29" s="6" t="s">
        <v>5</v>
      </c>
      <c r="F29" s="6">
        <v>62</v>
      </c>
      <c r="G29" s="6"/>
      <c r="H29" s="6"/>
      <c r="I29" s="6"/>
      <c r="J29" s="12"/>
      <c r="K29" s="10" t="s">
        <v>983</v>
      </c>
    </row>
    <row r="30" spans="1:11" ht="15.6">
      <c r="A30" s="6" t="s">
        <v>574</v>
      </c>
      <c r="B30" s="6" t="s">
        <v>38</v>
      </c>
      <c r="C30" s="1" t="s">
        <v>1168</v>
      </c>
      <c r="D30" s="6" t="s">
        <v>343</v>
      </c>
      <c r="E30" s="6" t="s">
        <v>5</v>
      </c>
      <c r="F30" s="6">
        <v>62</v>
      </c>
      <c r="G30" s="6"/>
      <c r="H30" s="6"/>
      <c r="I30" s="6"/>
      <c r="J30" s="12"/>
      <c r="K30" s="10" t="s">
        <v>983</v>
      </c>
    </row>
    <row r="31" spans="1:11" ht="15.6">
      <c r="A31" s="6" t="s">
        <v>574</v>
      </c>
      <c r="B31" s="6" t="s">
        <v>38</v>
      </c>
      <c r="C31" s="1" t="s">
        <v>1170</v>
      </c>
      <c r="D31" s="6" t="s">
        <v>343</v>
      </c>
      <c r="E31" s="6" t="s">
        <v>5</v>
      </c>
      <c r="F31" s="6">
        <v>60</v>
      </c>
      <c r="G31" s="6"/>
      <c r="H31" s="6"/>
      <c r="I31" s="6"/>
      <c r="J31" s="12"/>
      <c r="K31" s="10" t="s">
        <v>983</v>
      </c>
    </row>
    <row r="32" spans="1:11" ht="15.6">
      <c r="A32" s="6" t="s">
        <v>574</v>
      </c>
      <c r="B32" s="6" t="s">
        <v>38</v>
      </c>
      <c r="C32" s="1" t="s">
        <v>1171</v>
      </c>
      <c r="D32" s="6" t="s">
        <v>343</v>
      </c>
      <c r="E32" s="6" t="s">
        <v>5</v>
      </c>
      <c r="F32" s="6">
        <v>50</v>
      </c>
      <c r="G32" s="6"/>
      <c r="H32" s="6"/>
      <c r="I32" s="6"/>
      <c r="J32" s="12"/>
      <c r="K32" s="10" t="s">
        <v>983</v>
      </c>
    </row>
    <row r="33" spans="1:11" ht="15.6">
      <c r="A33" s="6" t="s">
        <v>574</v>
      </c>
      <c r="B33" s="6" t="s">
        <v>38</v>
      </c>
      <c r="C33" s="1" t="s">
        <v>1073</v>
      </c>
      <c r="D33" s="6" t="s">
        <v>343</v>
      </c>
      <c r="E33" s="6" t="s">
        <v>5</v>
      </c>
      <c r="F33" s="6">
        <v>175</v>
      </c>
      <c r="G33" s="6"/>
      <c r="H33" s="6"/>
      <c r="I33" s="6"/>
      <c r="J33" s="12"/>
      <c r="K33" s="10" t="s">
        <v>1072</v>
      </c>
    </row>
    <row r="34" spans="1:11" ht="15.6">
      <c r="A34" s="6" t="s">
        <v>574</v>
      </c>
      <c r="B34" s="6" t="s">
        <v>38</v>
      </c>
      <c r="C34" s="1" t="s">
        <v>1074</v>
      </c>
      <c r="D34" s="6" t="s">
        <v>343</v>
      </c>
      <c r="E34" s="6" t="s">
        <v>5</v>
      </c>
      <c r="F34" s="6">
        <v>170</v>
      </c>
      <c r="G34" s="6"/>
      <c r="H34" s="6"/>
      <c r="I34" s="6"/>
      <c r="J34" s="12"/>
      <c r="K34" s="10" t="s">
        <v>1072</v>
      </c>
    </row>
    <row r="35" spans="1:11" ht="15.6">
      <c r="A35" s="6" t="s">
        <v>574</v>
      </c>
      <c r="B35" s="6" t="s">
        <v>38</v>
      </c>
      <c r="C35" s="1" t="s">
        <v>1075</v>
      </c>
      <c r="D35" s="6" t="s">
        <v>343</v>
      </c>
      <c r="E35" s="6" t="s">
        <v>5</v>
      </c>
      <c r="F35" s="6">
        <v>410</v>
      </c>
      <c r="G35" s="6"/>
      <c r="H35" s="6"/>
      <c r="I35" s="6"/>
      <c r="J35" s="12"/>
      <c r="K35" s="10" t="s">
        <v>1072</v>
      </c>
    </row>
    <row r="36" spans="1:11" ht="15.6">
      <c r="A36" s="6" t="s">
        <v>574</v>
      </c>
      <c r="B36" s="6" t="s">
        <v>38</v>
      </c>
      <c r="C36" s="1" t="s">
        <v>1076</v>
      </c>
      <c r="D36" s="6" t="s">
        <v>343</v>
      </c>
      <c r="E36" s="6" t="s">
        <v>5</v>
      </c>
      <c r="F36" s="6">
        <v>95</v>
      </c>
      <c r="G36" s="6"/>
      <c r="H36" s="6"/>
      <c r="I36" s="6"/>
      <c r="J36" s="12"/>
      <c r="K36" s="10" t="s">
        <v>1072</v>
      </c>
    </row>
    <row r="37" spans="1:11" ht="15.6">
      <c r="A37" s="6" t="s">
        <v>574</v>
      </c>
      <c r="B37" s="6" t="s">
        <v>38</v>
      </c>
      <c r="C37" s="1" t="s">
        <v>1086</v>
      </c>
      <c r="D37" s="6" t="s">
        <v>343</v>
      </c>
      <c r="E37" s="6" t="s">
        <v>5</v>
      </c>
      <c r="F37" s="6">
        <v>3</v>
      </c>
      <c r="G37" s="6"/>
      <c r="H37" s="6"/>
      <c r="I37" s="6"/>
      <c r="J37" s="12"/>
      <c r="K37" s="10" t="s">
        <v>1087</v>
      </c>
    </row>
    <row r="38" spans="1:11" ht="15.6">
      <c r="A38" s="6" t="s">
        <v>574</v>
      </c>
      <c r="B38" s="6" t="s">
        <v>766</v>
      </c>
      <c r="C38" s="1" t="s">
        <v>1088</v>
      </c>
      <c r="D38" s="6" t="s">
        <v>343</v>
      </c>
      <c r="E38" s="6" t="s">
        <v>5</v>
      </c>
      <c r="F38" s="6">
        <v>401</v>
      </c>
      <c r="G38" s="6"/>
      <c r="H38" s="6"/>
      <c r="I38" s="6"/>
      <c r="J38" s="12"/>
    </row>
    <row r="39" spans="1:11" ht="15.6">
      <c r="A39" s="6" t="s">
        <v>574</v>
      </c>
      <c r="B39" s="6" t="s">
        <v>38</v>
      </c>
      <c r="C39" s="1" t="s">
        <v>1076</v>
      </c>
      <c r="D39" s="6" t="s">
        <v>343</v>
      </c>
      <c r="E39" s="6" t="s">
        <v>5</v>
      </c>
      <c r="F39" s="6">
        <v>190</v>
      </c>
      <c r="G39" s="6"/>
      <c r="H39" s="6"/>
      <c r="I39" s="6"/>
      <c r="J39" s="12"/>
      <c r="K39" s="10" t="s">
        <v>1098</v>
      </c>
    </row>
    <row r="40" spans="1:11" ht="15.6">
      <c r="A40" s="6" t="s">
        <v>574</v>
      </c>
      <c r="B40" s="6" t="s">
        <v>38</v>
      </c>
      <c r="C40" s="1" t="s">
        <v>1099</v>
      </c>
      <c r="D40" s="6" t="s">
        <v>343</v>
      </c>
      <c r="E40" s="6" t="s">
        <v>5</v>
      </c>
      <c r="F40" s="6">
        <v>255</v>
      </c>
      <c r="G40" s="6"/>
      <c r="H40" s="6"/>
      <c r="I40" s="6"/>
      <c r="J40" s="12"/>
      <c r="K40" s="10" t="s">
        <v>1098</v>
      </c>
    </row>
    <row r="41" spans="1:11" ht="15.6">
      <c r="A41" s="6" t="s">
        <v>574</v>
      </c>
      <c r="B41" s="6" t="s">
        <v>38</v>
      </c>
      <c r="C41" s="1" t="s">
        <v>576</v>
      </c>
      <c r="D41" s="6" t="s">
        <v>343</v>
      </c>
      <c r="E41" s="6" t="s">
        <v>5</v>
      </c>
      <c r="F41" s="6">
        <v>190</v>
      </c>
      <c r="G41" s="6"/>
      <c r="H41" s="6"/>
      <c r="I41" s="6"/>
      <c r="J41" s="12"/>
      <c r="K41" s="10" t="s">
        <v>1098</v>
      </c>
    </row>
    <row r="42" spans="1:11" ht="15.6">
      <c r="A42" s="6" t="s">
        <v>574</v>
      </c>
      <c r="B42" s="6" t="s">
        <v>38</v>
      </c>
      <c r="C42" s="1" t="s">
        <v>729</v>
      </c>
      <c r="D42" s="6" t="s">
        <v>343</v>
      </c>
      <c r="E42" s="6" t="s">
        <v>5</v>
      </c>
      <c r="F42" s="6">
        <v>300</v>
      </c>
      <c r="G42" s="6"/>
      <c r="H42" s="6"/>
      <c r="I42" s="6"/>
      <c r="J42" s="12"/>
      <c r="K42" s="10" t="s">
        <v>1098</v>
      </c>
    </row>
    <row r="43" spans="1:11" ht="15.6">
      <c r="A43" s="6" t="s">
        <v>574</v>
      </c>
      <c r="B43" s="6" t="s">
        <v>38</v>
      </c>
      <c r="C43" s="1" t="s">
        <v>1100</v>
      </c>
      <c r="D43" s="6" t="s">
        <v>343</v>
      </c>
      <c r="E43" s="6" t="s">
        <v>5</v>
      </c>
      <c r="F43" s="6">
        <v>590</v>
      </c>
      <c r="G43" s="6"/>
      <c r="H43" s="6"/>
      <c r="I43" s="6"/>
      <c r="J43" s="12"/>
      <c r="K43" s="10" t="s">
        <v>1098</v>
      </c>
    </row>
    <row r="44" spans="1:11" ht="15.6">
      <c r="A44" s="6" t="s">
        <v>574</v>
      </c>
      <c r="B44" s="6" t="s">
        <v>38</v>
      </c>
      <c r="C44" s="1" t="s">
        <v>1130</v>
      </c>
      <c r="D44" s="6" t="s">
        <v>343</v>
      </c>
      <c r="E44" s="6" t="s">
        <v>5</v>
      </c>
      <c r="F44" s="6">
        <v>426</v>
      </c>
      <c r="G44" s="6"/>
      <c r="H44" s="6"/>
      <c r="I44" s="6"/>
      <c r="J44" s="12"/>
      <c r="K44" s="10" t="s">
        <v>1072</v>
      </c>
    </row>
    <row r="45" spans="1:11" ht="15.6">
      <c r="A45" s="6" t="s">
        <v>13</v>
      </c>
      <c r="B45" s="6" t="s">
        <v>1149</v>
      </c>
      <c r="C45" s="1" t="s">
        <v>1148</v>
      </c>
      <c r="D45" s="6" t="s">
        <v>343</v>
      </c>
      <c r="E45" s="6" t="s">
        <v>5</v>
      </c>
      <c r="F45" s="6">
        <v>55</v>
      </c>
      <c r="G45" s="6"/>
      <c r="H45" s="6"/>
      <c r="I45" s="6"/>
      <c r="J45" s="12"/>
      <c r="K45" s="10"/>
    </row>
    <row r="46" spans="1:11" ht="15.6">
      <c r="A46" s="6" t="s">
        <v>13</v>
      </c>
      <c r="B46" s="6" t="s">
        <v>1021</v>
      </c>
      <c r="C46" s="1" t="s">
        <v>1147</v>
      </c>
      <c r="D46" s="6" t="s">
        <v>343</v>
      </c>
      <c r="E46" s="6" t="s">
        <v>5</v>
      </c>
      <c r="F46" s="6">
        <v>55</v>
      </c>
      <c r="G46" s="6"/>
      <c r="H46" s="6"/>
      <c r="I46" s="6"/>
      <c r="J46" s="12"/>
      <c r="K46" s="10"/>
    </row>
    <row r="47" spans="1:11" ht="15.6">
      <c r="A47" s="6" t="s">
        <v>13</v>
      </c>
      <c r="B47" s="6" t="s">
        <v>1021</v>
      </c>
      <c r="C47" s="1" t="s">
        <v>739</v>
      </c>
      <c r="D47" s="6" t="s">
        <v>343</v>
      </c>
      <c r="E47" s="6" t="s">
        <v>5</v>
      </c>
      <c r="F47" s="6">
        <v>70</v>
      </c>
      <c r="G47" s="6"/>
      <c r="H47" s="6"/>
      <c r="I47" s="6"/>
      <c r="J47" s="12"/>
      <c r="K47" s="10"/>
    </row>
    <row r="48" spans="1:11" ht="15.6">
      <c r="A48" s="6" t="s">
        <v>574</v>
      </c>
      <c r="B48" s="6" t="s">
        <v>38</v>
      </c>
      <c r="C48" s="1" t="s">
        <v>1130</v>
      </c>
      <c r="D48" s="6" t="s">
        <v>343</v>
      </c>
      <c r="E48" s="6" t="s">
        <v>116</v>
      </c>
      <c r="F48" s="6">
        <v>365</v>
      </c>
      <c r="G48" s="6">
        <v>365</v>
      </c>
      <c r="H48" s="6">
        <v>396</v>
      </c>
      <c r="I48" s="6">
        <f>H48-G48</f>
        <v>31</v>
      </c>
      <c r="J48" s="12">
        <f>I48/G48</f>
        <v>8.4931506849315067E-2</v>
      </c>
      <c r="K48" s="10" t="s">
        <v>1757</v>
      </c>
    </row>
    <row r="49" spans="1:11" ht="15.6">
      <c r="A49" s="6" t="s">
        <v>574</v>
      </c>
      <c r="B49" s="6" t="s">
        <v>38</v>
      </c>
      <c r="C49" s="1" t="s">
        <v>1758</v>
      </c>
      <c r="D49" s="6" t="s">
        <v>343</v>
      </c>
      <c r="E49" s="6" t="s">
        <v>116</v>
      </c>
      <c r="F49" s="6">
        <v>400</v>
      </c>
      <c r="G49" s="6">
        <v>400</v>
      </c>
      <c r="H49" s="6">
        <v>440</v>
      </c>
      <c r="I49" s="6">
        <f>H49-G49</f>
        <v>40</v>
      </c>
      <c r="J49" s="12">
        <f>I49/G49</f>
        <v>0.1</v>
      </c>
      <c r="K49" s="10" t="s">
        <v>1757</v>
      </c>
    </row>
    <row r="50" spans="1:11" ht="15.6">
      <c r="A50" s="6"/>
      <c r="B50" s="6"/>
      <c r="C50" s="6"/>
      <c r="D50" s="6"/>
      <c r="E50" s="6"/>
      <c r="F50" s="6"/>
      <c r="G50" s="6"/>
      <c r="H50" s="6"/>
      <c r="I50" s="6"/>
      <c r="J50" s="12"/>
      <c r="K50" s="10"/>
    </row>
    <row r="51" spans="1:11" ht="15.6">
      <c r="A51" s="6"/>
      <c r="B51" s="6"/>
      <c r="C51" s="6"/>
      <c r="D51" s="6"/>
      <c r="E51" s="6"/>
      <c r="F51" s="6"/>
      <c r="G51" s="6"/>
      <c r="H51" s="6"/>
      <c r="I51" s="6"/>
      <c r="J51" s="12"/>
      <c r="K51" s="10"/>
    </row>
    <row r="52" spans="1:11" ht="15.6">
      <c r="A52" s="6"/>
      <c r="B52" s="6"/>
      <c r="C52" s="6"/>
      <c r="D52" s="6"/>
      <c r="E52" s="6"/>
      <c r="F52" s="6"/>
      <c r="G52" s="6"/>
      <c r="H52" s="6"/>
      <c r="I52" s="6"/>
      <c r="J52" s="12"/>
      <c r="K52" s="10"/>
    </row>
    <row r="53" spans="1:11" ht="15.6">
      <c r="A53" s="6"/>
      <c r="B53" s="6"/>
      <c r="C53" s="6"/>
      <c r="D53" s="6"/>
      <c r="E53" s="6"/>
      <c r="F53" s="6"/>
      <c r="G53" s="6"/>
      <c r="H53" s="6"/>
      <c r="I53" s="6"/>
      <c r="J53" s="12"/>
      <c r="K53" s="10"/>
    </row>
    <row r="54" spans="1:11" ht="15.6">
      <c r="A54" s="6"/>
      <c r="B54" s="6"/>
      <c r="C54" s="6"/>
      <c r="D54" s="6"/>
      <c r="E54" s="6"/>
      <c r="F54" s="6"/>
      <c r="G54" s="6"/>
      <c r="H54" s="6"/>
      <c r="I54" s="6"/>
      <c r="J54" s="12"/>
      <c r="K54" s="10"/>
    </row>
    <row r="55" spans="1:11" ht="15.6">
      <c r="A55" s="6"/>
      <c r="B55" s="6"/>
      <c r="C55" s="6"/>
      <c r="D55" s="6"/>
      <c r="E55" s="6"/>
      <c r="F55" s="6"/>
      <c r="G55" s="6"/>
      <c r="H55" s="6"/>
      <c r="I55" s="6"/>
      <c r="J55" s="12"/>
      <c r="K55" s="10"/>
    </row>
    <row r="56" spans="1:11" ht="15.6">
      <c r="A56" s="6"/>
      <c r="B56" s="6"/>
      <c r="C56" s="6"/>
      <c r="D56" s="6"/>
      <c r="E56" s="6"/>
      <c r="F56" s="6"/>
      <c r="G56" s="6"/>
      <c r="H56" s="6"/>
      <c r="I56" s="6"/>
      <c r="J56" s="12"/>
      <c r="K56" s="10"/>
    </row>
    <row r="57" spans="1:11" ht="15.6">
      <c r="A57" s="6"/>
      <c r="B57" s="6"/>
      <c r="C57" s="6"/>
      <c r="D57" s="6"/>
      <c r="E57" s="6"/>
      <c r="F57" s="6"/>
      <c r="G57" s="6"/>
      <c r="H57" s="6"/>
      <c r="I57" s="6"/>
      <c r="J57" s="12"/>
      <c r="K57" s="10"/>
    </row>
    <row r="58" spans="1:11" ht="15.6">
      <c r="A58" s="6"/>
      <c r="B58" s="6"/>
      <c r="C58" s="6"/>
      <c r="D58" s="6"/>
      <c r="E58" s="6"/>
      <c r="F58" s="6"/>
      <c r="G58" s="6"/>
      <c r="H58" s="6"/>
      <c r="I58" s="6"/>
      <c r="J58" s="12"/>
      <c r="K58" s="10"/>
    </row>
    <row r="59" spans="1:11" ht="15.6">
      <c r="A59" s="6"/>
      <c r="B59" s="6"/>
      <c r="C59" s="6"/>
      <c r="D59" s="6"/>
      <c r="E59" s="6"/>
      <c r="F59" s="6"/>
      <c r="G59" s="6"/>
      <c r="H59" s="6"/>
      <c r="I59" s="6"/>
      <c r="J59" s="12"/>
      <c r="K59" s="10"/>
    </row>
    <row r="60" spans="1:11" ht="15.6">
      <c r="A60" s="6"/>
      <c r="B60" s="6"/>
      <c r="C60" s="6"/>
      <c r="D60" s="6"/>
      <c r="E60" s="6"/>
      <c r="F60" s="6"/>
      <c r="G60" s="6"/>
      <c r="H60" s="6"/>
      <c r="I60" s="6"/>
      <c r="J60" s="12"/>
      <c r="K60" s="10"/>
    </row>
    <row r="61" spans="1:11" ht="15.6">
      <c r="A61" s="6"/>
      <c r="B61" s="6"/>
      <c r="C61" s="6"/>
      <c r="D61" s="6"/>
      <c r="E61" s="6"/>
      <c r="F61" s="6"/>
      <c r="G61" s="6"/>
      <c r="H61" s="6"/>
      <c r="I61" s="6"/>
      <c r="J61" s="12"/>
      <c r="K61" s="10"/>
    </row>
    <row r="62" spans="1:11" ht="15.6">
      <c r="A62" s="6"/>
      <c r="B62" s="6"/>
      <c r="C62" s="6"/>
      <c r="D62" s="6"/>
      <c r="E62" s="6"/>
      <c r="F62" s="6"/>
      <c r="G62" s="6"/>
      <c r="H62" s="6"/>
      <c r="I62" s="6"/>
      <c r="J62" s="12"/>
      <c r="K62" s="10"/>
    </row>
    <row r="63" spans="1:11" ht="15.6">
      <c r="A63" s="6"/>
      <c r="B63" s="6"/>
      <c r="C63" s="6"/>
      <c r="D63" s="6"/>
      <c r="E63" s="6"/>
      <c r="F63" s="6"/>
      <c r="G63" s="6"/>
      <c r="H63" s="6"/>
      <c r="I63" s="6"/>
      <c r="J63" s="12"/>
      <c r="K63" s="10"/>
    </row>
    <row r="64" spans="1:11" ht="15.6">
      <c r="A64" s="6"/>
      <c r="B64" s="6"/>
      <c r="C64" s="6"/>
      <c r="D64" s="6"/>
      <c r="E64" s="6"/>
      <c r="F64" s="6"/>
      <c r="G64" s="6"/>
      <c r="H64" s="6"/>
      <c r="I64" s="6"/>
      <c r="J64" s="12"/>
      <c r="K64" s="10"/>
    </row>
    <row r="65" spans="1:11" ht="15.6">
      <c r="A65" s="6"/>
      <c r="B65" s="6"/>
      <c r="C65" s="6"/>
      <c r="D65" s="6"/>
      <c r="E65" s="6"/>
      <c r="F65" s="6"/>
      <c r="G65" s="6"/>
      <c r="H65" s="6"/>
      <c r="I65" s="6"/>
      <c r="J65" s="12"/>
      <c r="K65" s="10"/>
    </row>
    <row r="66" spans="1:11" ht="15.6">
      <c r="A66" s="6"/>
      <c r="B66" s="6"/>
      <c r="C66" s="6"/>
      <c r="D66" s="6"/>
      <c r="E66" s="6"/>
      <c r="F66" s="6"/>
      <c r="G66" s="6"/>
      <c r="H66" s="6"/>
      <c r="I66" s="6"/>
      <c r="J66" s="12"/>
      <c r="K66" s="10"/>
    </row>
    <row r="67" spans="1:11" ht="15.6">
      <c r="A67" s="6"/>
      <c r="B67" s="6"/>
      <c r="C67" s="6"/>
      <c r="D67" s="6"/>
      <c r="E67" s="6"/>
      <c r="F67" s="6"/>
      <c r="G67" s="6"/>
      <c r="H67" s="6"/>
      <c r="I67" s="6"/>
      <c r="J67" s="12"/>
      <c r="K67" s="10"/>
    </row>
    <row r="68" spans="1:11" ht="15.6">
      <c r="A68" s="6"/>
      <c r="B68" s="6"/>
      <c r="C68" s="6"/>
      <c r="D68" s="6"/>
      <c r="E68" s="6"/>
      <c r="F68" s="6"/>
      <c r="G68" s="6"/>
      <c r="H68" s="6"/>
      <c r="I68" s="6"/>
      <c r="J68" s="12"/>
      <c r="K68" s="10"/>
    </row>
    <row r="69" spans="1:11" ht="15.6">
      <c r="A69" s="6"/>
      <c r="B69" s="6"/>
      <c r="C69" s="6"/>
      <c r="D69" s="6"/>
      <c r="E69" s="6"/>
      <c r="F69" s="6"/>
      <c r="G69" s="6"/>
      <c r="H69" s="6"/>
      <c r="I69" s="6"/>
      <c r="J69" s="12"/>
      <c r="K69" s="10"/>
    </row>
    <row r="70" spans="1:11" ht="15.6">
      <c r="A70" s="6"/>
      <c r="B70" s="6"/>
      <c r="C70" s="6"/>
      <c r="D70" s="6"/>
      <c r="E70" s="6"/>
      <c r="F70" s="6"/>
      <c r="G70" s="6"/>
      <c r="H70" s="6"/>
      <c r="I70" s="6"/>
      <c r="J70" s="12"/>
      <c r="K70" s="10"/>
    </row>
  </sheetData>
  <autoFilter ref="A1:N1" xr:uid="{FE547750-18CA-4413-AC5D-73511FD2D497}"/>
  <phoneticPr fontId="1"/>
  <conditionalFormatting sqref="A2:H2 K2 K45:K47 C2:C47 K50:K70">
    <cfRule type="expression" dxfId="205" priority="245">
      <formula>$E2="卖出"</formula>
    </cfRule>
  </conditionalFormatting>
  <conditionalFormatting sqref="I2:J2">
    <cfRule type="expression" dxfId="204" priority="211">
      <formula>$E2="卖出"</formula>
    </cfRule>
  </conditionalFormatting>
  <conditionalFormatting sqref="K3:K16 A5:H16 F18:H18 C18:C19 G19:H19 B38:C38 C39 G39:H39 C44 F44:H46 A50:H70 A45:C47 G47:H47 A3:B4 D3:H4">
    <cfRule type="expression" dxfId="203" priority="207">
      <formula>$E3="卖出"</formula>
    </cfRule>
  </conditionalFormatting>
  <conditionalFormatting sqref="I3:J16 I18:J19 I38:J39 I44:J47 I50:J70">
    <cfRule type="expression" dxfId="202" priority="206">
      <formula>$E3="卖出"</formula>
    </cfRule>
  </conditionalFormatting>
  <conditionalFormatting sqref="A17:H17">
    <cfRule type="expression" dxfId="201" priority="205">
      <formula>$E17="卖出"</formula>
    </cfRule>
  </conditionalFormatting>
  <conditionalFormatting sqref="I17:J17">
    <cfRule type="expression" dxfId="200" priority="204">
      <formula>$E17="卖出"</formula>
    </cfRule>
  </conditionalFormatting>
  <conditionalFormatting sqref="K17">
    <cfRule type="expression" dxfId="199" priority="203">
      <formula>$E17="卖出"</formula>
    </cfRule>
  </conditionalFormatting>
  <conditionalFormatting sqref="B18">
    <cfRule type="expression" dxfId="198" priority="202">
      <formula>$E18="卖出"</formula>
    </cfRule>
  </conditionalFormatting>
  <conditionalFormatting sqref="A18">
    <cfRule type="expression" dxfId="197" priority="201">
      <formula>$E18="卖出"</formula>
    </cfRule>
  </conditionalFormatting>
  <conditionalFormatting sqref="D18:E18">
    <cfRule type="expression" dxfId="196" priority="200">
      <formula>$E18="卖出"</formula>
    </cfRule>
  </conditionalFormatting>
  <conditionalFormatting sqref="K18">
    <cfRule type="expression" dxfId="195" priority="199">
      <formula>$E18="卖出"</formula>
    </cfRule>
  </conditionalFormatting>
  <conditionalFormatting sqref="B19">
    <cfRule type="expression" dxfId="194" priority="198">
      <formula>$E19="卖出"</formula>
    </cfRule>
  </conditionalFormatting>
  <conditionalFormatting sqref="A19">
    <cfRule type="expression" dxfId="193" priority="197">
      <formula>$E19="卖出"</formula>
    </cfRule>
  </conditionalFormatting>
  <conditionalFormatting sqref="F19">
    <cfRule type="expression" dxfId="192" priority="196">
      <formula>$E19="卖出"</formula>
    </cfRule>
  </conditionalFormatting>
  <conditionalFormatting sqref="D19:E19">
    <cfRule type="expression" dxfId="191" priority="195">
      <formula>$E19="卖出"</formula>
    </cfRule>
  </conditionalFormatting>
  <conditionalFormatting sqref="K19">
    <cfRule type="expression" dxfId="190" priority="194">
      <formula>$E19="卖出"</formula>
    </cfRule>
  </conditionalFormatting>
  <conditionalFormatting sqref="C20 G20:H20">
    <cfRule type="expression" dxfId="189" priority="193">
      <formula>$E20="卖出"</formula>
    </cfRule>
  </conditionalFormatting>
  <conditionalFormatting sqref="I20:J20">
    <cfRule type="expression" dxfId="188" priority="192">
      <formula>$E20="卖出"</formula>
    </cfRule>
  </conditionalFormatting>
  <conditionalFormatting sqref="B20">
    <cfRule type="expression" dxfId="187" priority="191">
      <formula>$E20="卖出"</formula>
    </cfRule>
  </conditionalFormatting>
  <conditionalFormatting sqref="A20">
    <cfRule type="expression" dxfId="186" priority="190">
      <formula>$E20="卖出"</formula>
    </cfRule>
  </conditionalFormatting>
  <conditionalFormatting sqref="F20">
    <cfRule type="expression" dxfId="185" priority="189">
      <formula>$E20="卖出"</formula>
    </cfRule>
  </conditionalFormatting>
  <conditionalFormatting sqref="D20:E20">
    <cfRule type="expression" dxfId="184" priority="188">
      <formula>$E20="卖出"</formula>
    </cfRule>
  </conditionalFormatting>
  <conditionalFormatting sqref="K20">
    <cfRule type="expression" dxfId="183" priority="187">
      <formula>$E20="卖出"</formula>
    </cfRule>
  </conditionalFormatting>
  <conditionalFormatting sqref="C21 G21:H21">
    <cfRule type="expression" dxfId="182" priority="186">
      <formula>$E21="卖出"</formula>
    </cfRule>
  </conditionalFormatting>
  <conditionalFormatting sqref="I21:J21">
    <cfRule type="expression" dxfId="181" priority="185">
      <formula>$E21="卖出"</formula>
    </cfRule>
  </conditionalFormatting>
  <conditionalFormatting sqref="B21">
    <cfRule type="expression" dxfId="180" priority="184">
      <formula>$E21="卖出"</formula>
    </cfRule>
  </conditionalFormatting>
  <conditionalFormatting sqref="A21">
    <cfRule type="expression" dxfId="179" priority="183">
      <formula>$E21="卖出"</formula>
    </cfRule>
  </conditionalFormatting>
  <conditionalFormatting sqref="F21">
    <cfRule type="expression" dxfId="178" priority="182">
      <formula>$E21="卖出"</formula>
    </cfRule>
  </conditionalFormatting>
  <conditionalFormatting sqref="D21:E21">
    <cfRule type="expression" dxfId="177" priority="181">
      <formula>$E21="卖出"</formula>
    </cfRule>
  </conditionalFormatting>
  <conditionalFormatting sqref="K21">
    <cfRule type="expression" dxfId="176" priority="180">
      <formula>$E21="卖出"</formula>
    </cfRule>
  </conditionalFormatting>
  <conditionalFormatting sqref="C33 G33:H33">
    <cfRule type="expression" dxfId="175" priority="179">
      <formula>$E33="卖出"</formula>
    </cfRule>
  </conditionalFormatting>
  <conditionalFormatting sqref="I33:J33">
    <cfRule type="expression" dxfId="174" priority="178">
      <formula>$E33="卖出"</formula>
    </cfRule>
  </conditionalFormatting>
  <conditionalFormatting sqref="B33">
    <cfRule type="expression" dxfId="173" priority="177">
      <formula>$E33="卖出"</formula>
    </cfRule>
  </conditionalFormatting>
  <conditionalFormatting sqref="A33">
    <cfRule type="expression" dxfId="172" priority="176">
      <formula>$E33="卖出"</formula>
    </cfRule>
  </conditionalFormatting>
  <conditionalFormatting sqref="F33">
    <cfRule type="expression" dxfId="171" priority="175">
      <formula>$E33="卖出"</formula>
    </cfRule>
  </conditionalFormatting>
  <conditionalFormatting sqref="D33:E33">
    <cfRule type="expression" dxfId="170" priority="174">
      <formula>$E33="卖出"</formula>
    </cfRule>
  </conditionalFormatting>
  <conditionalFormatting sqref="K33">
    <cfRule type="expression" dxfId="169" priority="173">
      <formula>$E33="卖出"</formula>
    </cfRule>
  </conditionalFormatting>
  <conditionalFormatting sqref="C34 G34:H34">
    <cfRule type="expression" dxfId="168" priority="172">
      <formula>$E34="卖出"</formula>
    </cfRule>
  </conditionalFormatting>
  <conditionalFormatting sqref="I34:J34">
    <cfRule type="expression" dxfId="167" priority="171">
      <formula>$E34="卖出"</formula>
    </cfRule>
  </conditionalFormatting>
  <conditionalFormatting sqref="B34">
    <cfRule type="expression" dxfId="166" priority="170">
      <formula>$E34="卖出"</formula>
    </cfRule>
  </conditionalFormatting>
  <conditionalFormatting sqref="A34">
    <cfRule type="expression" dxfId="165" priority="169">
      <formula>$E34="卖出"</formula>
    </cfRule>
  </conditionalFormatting>
  <conditionalFormatting sqref="F34">
    <cfRule type="expression" dxfId="164" priority="168">
      <formula>$E34="卖出"</formula>
    </cfRule>
  </conditionalFormatting>
  <conditionalFormatting sqref="D34:E34">
    <cfRule type="expression" dxfId="163" priority="167">
      <formula>$E34="卖出"</formula>
    </cfRule>
  </conditionalFormatting>
  <conditionalFormatting sqref="K34">
    <cfRule type="expression" dxfId="162" priority="166">
      <formula>$E34="卖出"</formula>
    </cfRule>
  </conditionalFormatting>
  <conditionalFormatting sqref="C35 G35:H35">
    <cfRule type="expression" dxfId="161" priority="165">
      <formula>$E35="卖出"</formula>
    </cfRule>
  </conditionalFormatting>
  <conditionalFormatting sqref="I35:J35">
    <cfRule type="expression" dxfId="160" priority="164">
      <formula>$E35="卖出"</formula>
    </cfRule>
  </conditionalFormatting>
  <conditionalFormatting sqref="B35">
    <cfRule type="expression" dxfId="159" priority="163">
      <formula>$E35="卖出"</formula>
    </cfRule>
  </conditionalFormatting>
  <conditionalFormatting sqref="A35">
    <cfRule type="expression" dxfId="158" priority="162">
      <formula>$E35="卖出"</formula>
    </cfRule>
  </conditionalFormatting>
  <conditionalFormatting sqref="F35">
    <cfRule type="expression" dxfId="157" priority="161">
      <formula>$E35="卖出"</formula>
    </cfRule>
  </conditionalFormatting>
  <conditionalFormatting sqref="D35:E35">
    <cfRule type="expression" dxfId="156" priority="160">
      <formula>$E35="卖出"</formula>
    </cfRule>
  </conditionalFormatting>
  <conditionalFormatting sqref="K35">
    <cfRule type="expression" dxfId="155" priority="159">
      <formula>$E35="卖出"</formula>
    </cfRule>
  </conditionalFormatting>
  <conditionalFormatting sqref="C36 G36:H36">
    <cfRule type="expression" dxfId="154" priority="158">
      <formula>$E36="卖出"</formula>
    </cfRule>
  </conditionalFormatting>
  <conditionalFormatting sqref="I36:J36">
    <cfRule type="expression" dxfId="153" priority="157">
      <formula>$E36="卖出"</formula>
    </cfRule>
  </conditionalFormatting>
  <conditionalFormatting sqref="B36">
    <cfRule type="expression" dxfId="152" priority="156">
      <formula>$E36="卖出"</formula>
    </cfRule>
  </conditionalFormatting>
  <conditionalFormatting sqref="A36">
    <cfRule type="expression" dxfId="151" priority="155">
      <formula>$E36="卖出"</formula>
    </cfRule>
  </conditionalFormatting>
  <conditionalFormatting sqref="F36">
    <cfRule type="expression" dxfId="150" priority="154">
      <formula>$E36="卖出"</formula>
    </cfRule>
  </conditionalFormatting>
  <conditionalFormatting sqref="D36:E36">
    <cfRule type="expression" dxfId="149" priority="153">
      <formula>$E36="卖出"</formula>
    </cfRule>
  </conditionalFormatting>
  <conditionalFormatting sqref="K36">
    <cfRule type="expression" dxfId="148" priority="152">
      <formula>$E36="卖出"</formula>
    </cfRule>
  </conditionalFormatting>
  <conditionalFormatting sqref="C37 G37:H37">
    <cfRule type="expression" dxfId="147" priority="151">
      <formula>$E37="卖出"</formula>
    </cfRule>
  </conditionalFormatting>
  <conditionalFormatting sqref="I37:J37">
    <cfRule type="expression" dxfId="146" priority="150">
      <formula>$E37="卖出"</formula>
    </cfRule>
  </conditionalFormatting>
  <conditionalFormatting sqref="B37">
    <cfRule type="expression" dxfId="145" priority="149">
      <formula>$E37="卖出"</formula>
    </cfRule>
  </conditionalFormatting>
  <conditionalFormatting sqref="A37">
    <cfRule type="expression" dxfId="144" priority="148">
      <formula>$E37="卖出"</formula>
    </cfRule>
  </conditionalFormatting>
  <conditionalFormatting sqref="F37">
    <cfRule type="expression" dxfId="143" priority="147">
      <formula>$E37="卖出"</formula>
    </cfRule>
  </conditionalFormatting>
  <conditionalFormatting sqref="D37:E37">
    <cfRule type="expression" dxfId="142" priority="146">
      <formula>$E37="卖出"</formula>
    </cfRule>
  </conditionalFormatting>
  <conditionalFormatting sqref="K37">
    <cfRule type="expression" dxfId="141" priority="145">
      <formula>$E37="卖出"</formula>
    </cfRule>
  </conditionalFormatting>
  <conditionalFormatting sqref="A38">
    <cfRule type="expression" dxfId="140" priority="144">
      <formula>$E38="卖出"</formula>
    </cfRule>
  </conditionalFormatting>
  <conditionalFormatting sqref="G38:H38">
    <cfRule type="expression" dxfId="139" priority="143">
      <formula>$E38="卖出"</formula>
    </cfRule>
  </conditionalFormatting>
  <conditionalFormatting sqref="F38">
    <cfRule type="expression" dxfId="138" priority="142">
      <formula>$E38="卖出"</formula>
    </cfRule>
  </conditionalFormatting>
  <conditionalFormatting sqref="D38:E38">
    <cfRule type="expression" dxfId="137" priority="141">
      <formula>$E38="卖出"</formula>
    </cfRule>
  </conditionalFormatting>
  <conditionalFormatting sqref="B39">
    <cfRule type="expression" dxfId="136" priority="140">
      <formula>$E39="卖出"</formula>
    </cfRule>
  </conditionalFormatting>
  <conditionalFormatting sqref="A39">
    <cfRule type="expression" dxfId="135" priority="139">
      <formula>$E39="卖出"</formula>
    </cfRule>
  </conditionalFormatting>
  <conditionalFormatting sqref="F39">
    <cfRule type="expression" dxfId="134" priority="138">
      <formula>$E39="卖出"</formula>
    </cfRule>
  </conditionalFormatting>
  <conditionalFormatting sqref="D39:E39">
    <cfRule type="expression" dxfId="133" priority="137">
      <formula>$E39="卖出"</formula>
    </cfRule>
  </conditionalFormatting>
  <conditionalFormatting sqref="K39">
    <cfRule type="expression" dxfId="132" priority="2949">
      <formula>$E38="卖出"</formula>
    </cfRule>
  </conditionalFormatting>
  <conditionalFormatting sqref="C40 G40:H40">
    <cfRule type="expression" dxfId="131" priority="135">
      <formula>$E40="卖出"</formula>
    </cfRule>
  </conditionalFormatting>
  <conditionalFormatting sqref="I40:J40">
    <cfRule type="expression" dxfId="130" priority="134">
      <formula>$E40="卖出"</formula>
    </cfRule>
  </conditionalFormatting>
  <conditionalFormatting sqref="B40">
    <cfRule type="expression" dxfId="129" priority="133">
      <formula>$E40="卖出"</formula>
    </cfRule>
  </conditionalFormatting>
  <conditionalFormatting sqref="A40">
    <cfRule type="expression" dxfId="128" priority="132">
      <formula>$E40="卖出"</formula>
    </cfRule>
  </conditionalFormatting>
  <conditionalFormatting sqref="F40">
    <cfRule type="expression" dxfId="127" priority="131">
      <formula>$E40="卖出"</formula>
    </cfRule>
  </conditionalFormatting>
  <conditionalFormatting sqref="D40:E40">
    <cfRule type="expression" dxfId="126" priority="130">
      <formula>$E40="卖出"</formula>
    </cfRule>
  </conditionalFormatting>
  <conditionalFormatting sqref="K40">
    <cfRule type="expression" dxfId="125" priority="136">
      <formula>$E39="卖出"</formula>
    </cfRule>
  </conditionalFormatting>
  <conditionalFormatting sqref="C41 G41:H41">
    <cfRule type="expression" dxfId="124" priority="128">
      <formula>$E41="卖出"</formula>
    </cfRule>
  </conditionalFormatting>
  <conditionalFormatting sqref="I41:J41">
    <cfRule type="expression" dxfId="123" priority="127">
      <formula>$E41="卖出"</formula>
    </cfRule>
  </conditionalFormatting>
  <conditionalFormatting sqref="B41">
    <cfRule type="expression" dxfId="122" priority="126">
      <formula>$E41="卖出"</formula>
    </cfRule>
  </conditionalFormatting>
  <conditionalFormatting sqref="A41">
    <cfRule type="expression" dxfId="121" priority="125">
      <formula>$E41="卖出"</formula>
    </cfRule>
  </conditionalFormatting>
  <conditionalFormatting sqref="F41">
    <cfRule type="expression" dxfId="120" priority="124">
      <formula>$E41="卖出"</formula>
    </cfRule>
  </conditionalFormatting>
  <conditionalFormatting sqref="D41:E41">
    <cfRule type="expression" dxfId="119" priority="123">
      <formula>$E41="卖出"</formula>
    </cfRule>
  </conditionalFormatting>
  <conditionalFormatting sqref="K41">
    <cfRule type="expression" dxfId="118" priority="129">
      <formula>$E40="卖出"</formula>
    </cfRule>
  </conditionalFormatting>
  <conditionalFormatting sqref="C42 G42:H42">
    <cfRule type="expression" dxfId="117" priority="121">
      <formula>$E42="卖出"</formula>
    </cfRule>
  </conditionalFormatting>
  <conditionalFormatting sqref="I42:J42">
    <cfRule type="expression" dxfId="116" priority="120">
      <formula>$E42="卖出"</formula>
    </cfRule>
  </conditionalFormatting>
  <conditionalFormatting sqref="B42">
    <cfRule type="expression" dxfId="115" priority="119">
      <formula>$E42="卖出"</formula>
    </cfRule>
  </conditionalFormatting>
  <conditionalFormatting sqref="A42">
    <cfRule type="expression" dxfId="114" priority="118">
      <formula>$E42="卖出"</formula>
    </cfRule>
  </conditionalFormatting>
  <conditionalFormatting sqref="F42">
    <cfRule type="expression" dxfId="113" priority="117">
      <formula>$E42="卖出"</formula>
    </cfRule>
  </conditionalFormatting>
  <conditionalFormatting sqref="D42:E42">
    <cfRule type="expression" dxfId="112" priority="116">
      <formula>$E42="卖出"</formula>
    </cfRule>
  </conditionalFormatting>
  <conditionalFormatting sqref="K42">
    <cfRule type="expression" dxfId="111" priority="122">
      <formula>$E41="卖出"</formula>
    </cfRule>
  </conditionalFormatting>
  <conditionalFormatting sqref="C43 G43:H43">
    <cfRule type="expression" dxfId="110" priority="114">
      <formula>$E43="卖出"</formula>
    </cfRule>
  </conditionalFormatting>
  <conditionalFormatting sqref="I43:J43">
    <cfRule type="expression" dxfId="109" priority="113">
      <formula>$E43="卖出"</formula>
    </cfRule>
  </conditionalFormatting>
  <conditionalFormatting sqref="B43">
    <cfRule type="expression" dxfId="108" priority="112">
      <formula>$E43="卖出"</formula>
    </cfRule>
  </conditionalFormatting>
  <conditionalFormatting sqref="A43">
    <cfRule type="expression" dxfId="107" priority="111">
      <formula>$E43="卖出"</formula>
    </cfRule>
  </conditionalFormatting>
  <conditionalFormatting sqref="F43">
    <cfRule type="expression" dxfId="106" priority="110">
      <formula>$E43="卖出"</formula>
    </cfRule>
  </conditionalFormatting>
  <conditionalFormatting sqref="D43:E43">
    <cfRule type="expression" dxfId="105" priority="109">
      <formula>$E43="卖出"</formula>
    </cfRule>
  </conditionalFormatting>
  <conditionalFormatting sqref="K43">
    <cfRule type="expression" dxfId="104" priority="115">
      <formula>$E42="卖出"</formula>
    </cfRule>
  </conditionalFormatting>
  <conditionalFormatting sqref="B44">
    <cfRule type="expression" dxfId="103" priority="108">
      <formula>$E44="卖出"</formula>
    </cfRule>
  </conditionalFormatting>
  <conditionalFormatting sqref="A44">
    <cfRule type="expression" dxfId="102" priority="107">
      <formula>$E44="卖出"</formula>
    </cfRule>
  </conditionalFormatting>
  <conditionalFormatting sqref="K44">
    <cfRule type="expression" dxfId="101" priority="106">
      <formula>$E44="卖出"</formula>
    </cfRule>
  </conditionalFormatting>
  <conditionalFormatting sqref="D44:E44">
    <cfRule type="expression" dxfId="100" priority="105">
      <formula>$E44="卖出"</formula>
    </cfRule>
  </conditionalFormatting>
  <conditionalFormatting sqref="D46:E46">
    <cfRule type="expression" dxfId="99" priority="104">
      <formula>$E46="卖出"</formula>
    </cfRule>
  </conditionalFormatting>
  <conditionalFormatting sqref="D45:E45">
    <cfRule type="expression" dxfId="98" priority="103">
      <formula>$E45="卖出"</formula>
    </cfRule>
  </conditionalFormatting>
  <conditionalFormatting sqref="F47">
    <cfRule type="expression" dxfId="97" priority="102">
      <formula>$E47="卖出"</formula>
    </cfRule>
  </conditionalFormatting>
  <conditionalFormatting sqref="D47:E47">
    <cfRule type="expression" dxfId="96" priority="101">
      <formula>$E47="卖出"</formula>
    </cfRule>
  </conditionalFormatting>
  <conditionalFormatting sqref="C22 G22:H22">
    <cfRule type="expression" dxfId="95" priority="100">
      <formula>$E22="卖出"</formula>
    </cfRule>
  </conditionalFormatting>
  <conditionalFormatting sqref="I22:J22">
    <cfRule type="expression" dxfId="94" priority="99">
      <formula>$E22="卖出"</formula>
    </cfRule>
  </conditionalFormatting>
  <conditionalFormatting sqref="B22">
    <cfRule type="expression" dxfId="93" priority="98">
      <formula>$E22="卖出"</formula>
    </cfRule>
  </conditionalFormatting>
  <conditionalFormatting sqref="A22">
    <cfRule type="expression" dxfId="92" priority="97">
      <formula>$E22="卖出"</formula>
    </cfRule>
  </conditionalFormatting>
  <conditionalFormatting sqref="F22">
    <cfRule type="expression" dxfId="91" priority="96">
      <formula>$E22="卖出"</formula>
    </cfRule>
  </conditionalFormatting>
  <conditionalFormatting sqref="D22:E22">
    <cfRule type="expression" dxfId="90" priority="95">
      <formula>$E22="卖出"</formula>
    </cfRule>
  </conditionalFormatting>
  <conditionalFormatting sqref="K22">
    <cfRule type="expression" dxfId="89" priority="94">
      <formula>$E22="卖出"</formula>
    </cfRule>
  </conditionalFormatting>
  <conditionalFormatting sqref="C23 G23:H23">
    <cfRule type="expression" dxfId="88" priority="93">
      <formula>$E23="卖出"</formula>
    </cfRule>
  </conditionalFormatting>
  <conditionalFormatting sqref="I23:J23">
    <cfRule type="expression" dxfId="87" priority="92">
      <formula>$E23="卖出"</formula>
    </cfRule>
  </conditionalFormatting>
  <conditionalFormatting sqref="B23">
    <cfRule type="expression" dxfId="86" priority="91">
      <formula>$E23="卖出"</formula>
    </cfRule>
  </conditionalFormatting>
  <conditionalFormatting sqref="A23">
    <cfRule type="expression" dxfId="85" priority="90">
      <formula>$E23="卖出"</formula>
    </cfRule>
  </conditionalFormatting>
  <conditionalFormatting sqref="F23">
    <cfRule type="expression" dxfId="84" priority="89">
      <formula>$E23="卖出"</formula>
    </cfRule>
  </conditionalFormatting>
  <conditionalFormatting sqref="D23:E23">
    <cfRule type="expression" dxfId="83" priority="88">
      <formula>$E23="卖出"</formula>
    </cfRule>
  </conditionalFormatting>
  <conditionalFormatting sqref="K23">
    <cfRule type="expression" dxfId="82" priority="87">
      <formula>$E23="卖出"</formula>
    </cfRule>
  </conditionalFormatting>
  <conditionalFormatting sqref="C24 G24:H24">
    <cfRule type="expression" dxfId="81" priority="86">
      <formula>$E24="卖出"</formula>
    </cfRule>
  </conditionalFormatting>
  <conditionalFormatting sqref="I24:J24">
    <cfRule type="expression" dxfId="80" priority="85">
      <formula>$E24="卖出"</formula>
    </cfRule>
  </conditionalFormatting>
  <conditionalFormatting sqref="B24">
    <cfRule type="expression" dxfId="79" priority="84">
      <formula>$E24="卖出"</formula>
    </cfRule>
  </conditionalFormatting>
  <conditionalFormatting sqref="A24">
    <cfRule type="expression" dxfId="78" priority="83">
      <formula>$E24="卖出"</formula>
    </cfRule>
  </conditionalFormatting>
  <conditionalFormatting sqref="F24">
    <cfRule type="expression" dxfId="77" priority="82">
      <formula>$E24="卖出"</formula>
    </cfRule>
  </conditionalFormatting>
  <conditionalFormatting sqref="D24:E24">
    <cfRule type="expression" dxfId="76" priority="81">
      <formula>$E24="卖出"</formula>
    </cfRule>
  </conditionalFormatting>
  <conditionalFormatting sqref="K24">
    <cfRule type="expression" dxfId="75" priority="80">
      <formula>$E24="卖出"</formula>
    </cfRule>
  </conditionalFormatting>
  <conditionalFormatting sqref="C25 G25:H25">
    <cfRule type="expression" dxfId="74" priority="79">
      <formula>$E25="卖出"</formula>
    </cfRule>
  </conditionalFormatting>
  <conditionalFormatting sqref="I25:J25">
    <cfRule type="expression" dxfId="73" priority="78">
      <formula>$E25="卖出"</formula>
    </cfRule>
  </conditionalFormatting>
  <conditionalFormatting sqref="B25">
    <cfRule type="expression" dxfId="72" priority="77">
      <formula>$E25="卖出"</formula>
    </cfRule>
  </conditionalFormatting>
  <conditionalFormatting sqref="A25">
    <cfRule type="expression" dxfId="71" priority="76">
      <formula>$E25="卖出"</formula>
    </cfRule>
  </conditionalFormatting>
  <conditionalFormatting sqref="F25">
    <cfRule type="expression" dxfId="70" priority="75">
      <formula>$E25="卖出"</formula>
    </cfRule>
  </conditionalFormatting>
  <conditionalFormatting sqref="D25:E25">
    <cfRule type="expression" dxfId="69" priority="74">
      <formula>$E25="卖出"</formula>
    </cfRule>
  </conditionalFormatting>
  <conditionalFormatting sqref="K25">
    <cfRule type="expression" dxfId="68" priority="73">
      <formula>$E25="卖出"</formula>
    </cfRule>
  </conditionalFormatting>
  <conditionalFormatting sqref="C26 G26:H26">
    <cfRule type="expression" dxfId="67" priority="72">
      <formula>$E26="卖出"</formula>
    </cfRule>
  </conditionalFormatting>
  <conditionalFormatting sqref="I26:J26">
    <cfRule type="expression" dxfId="66" priority="71">
      <formula>$E26="卖出"</formula>
    </cfRule>
  </conditionalFormatting>
  <conditionalFormatting sqref="B26">
    <cfRule type="expression" dxfId="65" priority="70">
      <formula>$E26="卖出"</formula>
    </cfRule>
  </conditionalFormatting>
  <conditionalFormatting sqref="A26">
    <cfRule type="expression" dxfId="64" priority="69">
      <formula>$E26="卖出"</formula>
    </cfRule>
  </conditionalFormatting>
  <conditionalFormatting sqref="F26">
    <cfRule type="expression" dxfId="63" priority="68">
      <formula>$E26="卖出"</formula>
    </cfRule>
  </conditionalFormatting>
  <conditionalFormatting sqref="D26:E26">
    <cfRule type="expression" dxfId="62" priority="67">
      <formula>$E26="卖出"</formula>
    </cfRule>
  </conditionalFormatting>
  <conditionalFormatting sqref="K26">
    <cfRule type="expression" dxfId="61" priority="66">
      <formula>$E26="卖出"</formula>
    </cfRule>
  </conditionalFormatting>
  <conditionalFormatting sqref="C27 G27:H27">
    <cfRule type="expression" dxfId="60" priority="65">
      <formula>$E27="卖出"</formula>
    </cfRule>
  </conditionalFormatting>
  <conditionalFormatting sqref="I27:J27">
    <cfRule type="expression" dxfId="59" priority="64">
      <formula>$E27="卖出"</formula>
    </cfRule>
  </conditionalFormatting>
  <conditionalFormatting sqref="B27">
    <cfRule type="expression" dxfId="58" priority="63">
      <formula>$E27="卖出"</formula>
    </cfRule>
  </conditionalFormatting>
  <conditionalFormatting sqref="A27">
    <cfRule type="expression" dxfId="57" priority="62">
      <formula>$E27="卖出"</formula>
    </cfRule>
  </conditionalFormatting>
  <conditionalFormatting sqref="F27">
    <cfRule type="expression" dxfId="56" priority="61">
      <formula>$E27="卖出"</formula>
    </cfRule>
  </conditionalFormatting>
  <conditionalFormatting sqref="D27:E27">
    <cfRule type="expression" dxfId="55" priority="60">
      <formula>$E27="卖出"</formula>
    </cfRule>
  </conditionalFormatting>
  <conditionalFormatting sqref="K27">
    <cfRule type="expression" dxfId="54" priority="59">
      <formula>$E27="卖出"</formula>
    </cfRule>
  </conditionalFormatting>
  <conditionalFormatting sqref="C28 G28:H28">
    <cfRule type="expression" dxfId="53" priority="58">
      <formula>$E28="卖出"</formula>
    </cfRule>
  </conditionalFormatting>
  <conditionalFormatting sqref="I28:J28">
    <cfRule type="expression" dxfId="52" priority="57">
      <formula>$E28="卖出"</formula>
    </cfRule>
  </conditionalFormatting>
  <conditionalFormatting sqref="B28">
    <cfRule type="expression" dxfId="51" priority="56">
      <formula>$E28="卖出"</formula>
    </cfRule>
  </conditionalFormatting>
  <conditionalFormatting sqref="A28">
    <cfRule type="expression" dxfId="50" priority="55">
      <formula>$E28="卖出"</formula>
    </cfRule>
  </conditionalFormatting>
  <conditionalFormatting sqref="F28">
    <cfRule type="expression" dxfId="49" priority="54">
      <formula>$E28="卖出"</formula>
    </cfRule>
  </conditionalFormatting>
  <conditionalFormatting sqref="D28:E28">
    <cfRule type="expression" dxfId="48" priority="53">
      <formula>$E28="卖出"</formula>
    </cfRule>
  </conditionalFormatting>
  <conditionalFormatting sqref="K28">
    <cfRule type="expression" dxfId="47" priority="52">
      <formula>$E28="卖出"</formula>
    </cfRule>
  </conditionalFormatting>
  <conditionalFormatting sqref="C29 G29:H29">
    <cfRule type="expression" dxfId="46" priority="51">
      <formula>$E29="卖出"</formula>
    </cfRule>
  </conditionalFormatting>
  <conditionalFormatting sqref="I29:J29">
    <cfRule type="expression" dxfId="45" priority="50">
      <formula>$E29="卖出"</formula>
    </cfRule>
  </conditionalFormatting>
  <conditionalFormatting sqref="B29">
    <cfRule type="expression" dxfId="44" priority="49">
      <formula>$E29="卖出"</formula>
    </cfRule>
  </conditionalFormatting>
  <conditionalFormatting sqref="A29">
    <cfRule type="expression" dxfId="43" priority="48">
      <formula>$E29="卖出"</formula>
    </cfRule>
  </conditionalFormatting>
  <conditionalFormatting sqref="F29">
    <cfRule type="expression" dxfId="42" priority="47">
      <formula>$E29="卖出"</formula>
    </cfRule>
  </conditionalFormatting>
  <conditionalFormatting sqref="D29:E29">
    <cfRule type="expression" dxfId="41" priority="46">
      <formula>$E29="卖出"</formula>
    </cfRule>
  </conditionalFormatting>
  <conditionalFormatting sqref="K29">
    <cfRule type="expression" dxfId="40" priority="45">
      <formula>$E29="卖出"</formula>
    </cfRule>
  </conditionalFormatting>
  <conditionalFormatting sqref="C30 G30:H30">
    <cfRule type="expression" dxfId="39" priority="44">
      <formula>$E30="卖出"</formula>
    </cfRule>
  </conditionalFormatting>
  <conditionalFormatting sqref="I30:J30">
    <cfRule type="expression" dxfId="38" priority="43">
      <formula>$E30="卖出"</formula>
    </cfRule>
  </conditionalFormatting>
  <conditionalFormatting sqref="B30">
    <cfRule type="expression" dxfId="37" priority="42">
      <formula>$E30="卖出"</formula>
    </cfRule>
  </conditionalFormatting>
  <conditionalFormatting sqref="A30">
    <cfRule type="expression" dxfId="36" priority="41">
      <formula>$E30="卖出"</formula>
    </cfRule>
  </conditionalFormatting>
  <conditionalFormatting sqref="F30">
    <cfRule type="expression" dxfId="35" priority="40">
      <formula>$E30="卖出"</formula>
    </cfRule>
  </conditionalFormatting>
  <conditionalFormatting sqref="D30:E30">
    <cfRule type="expression" dxfId="34" priority="39">
      <formula>$E30="卖出"</formula>
    </cfRule>
  </conditionalFormatting>
  <conditionalFormatting sqref="K30">
    <cfRule type="expression" dxfId="33" priority="38">
      <formula>$E30="卖出"</formula>
    </cfRule>
  </conditionalFormatting>
  <conditionalFormatting sqref="C31 G31:H31">
    <cfRule type="expression" dxfId="32" priority="37">
      <formula>$E31="卖出"</formula>
    </cfRule>
  </conditionalFormatting>
  <conditionalFormatting sqref="I31:J31">
    <cfRule type="expression" dxfId="31" priority="36">
      <formula>$E31="卖出"</formula>
    </cfRule>
  </conditionalFormatting>
  <conditionalFormatting sqref="B31">
    <cfRule type="expression" dxfId="30" priority="35">
      <formula>$E31="卖出"</formula>
    </cfRule>
  </conditionalFormatting>
  <conditionalFormatting sqref="A31">
    <cfRule type="expression" dxfId="29" priority="34">
      <formula>$E31="卖出"</formula>
    </cfRule>
  </conditionalFormatting>
  <conditionalFormatting sqref="F31">
    <cfRule type="expression" dxfId="28" priority="33">
      <formula>$E31="卖出"</formula>
    </cfRule>
  </conditionalFormatting>
  <conditionalFormatting sqref="D31:E31">
    <cfRule type="expression" dxfId="27" priority="32">
      <formula>$E31="卖出"</formula>
    </cfRule>
  </conditionalFormatting>
  <conditionalFormatting sqref="K31">
    <cfRule type="expression" dxfId="26" priority="31">
      <formula>$E31="卖出"</formula>
    </cfRule>
  </conditionalFormatting>
  <conditionalFormatting sqref="C32 G32:H32">
    <cfRule type="expression" dxfId="25" priority="30">
      <formula>$E32="卖出"</formula>
    </cfRule>
  </conditionalFormatting>
  <conditionalFormatting sqref="I32:J32">
    <cfRule type="expression" dxfId="24" priority="29">
      <formula>$E32="卖出"</formula>
    </cfRule>
  </conditionalFormatting>
  <conditionalFormatting sqref="B32">
    <cfRule type="expression" dxfId="23" priority="28">
      <formula>$E32="卖出"</formula>
    </cfRule>
  </conditionalFormatting>
  <conditionalFormatting sqref="A32">
    <cfRule type="expression" dxfId="22" priority="27">
      <formula>$E32="卖出"</formula>
    </cfRule>
  </conditionalFormatting>
  <conditionalFormatting sqref="F32">
    <cfRule type="expression" dxfId="21" priority="26">
      <formula>$E32="卖出"</formula>
    </cfRule>
  </conditionalFormatting>
  <conditionalFormatting sqref="D32:E32">
    <cfRule type="expression" dxfId="20" priority="25">
      <formula>$E32="卖出"</formula>
    </cfRule>
  </conditionalFormatting>
  <conditionalFormatting sqref="K32">
    <cfRule type="expression" dxfId="19" priority="24">
      <formula>$E32="卖出"</formula>
    </cfRule>
  </conditionalFormatting>
  <conditionalFormatting sqref="C2:C47">
    <cfRule type="duplicateValues" dxfId="18" priority="2953"/>
  </conditionalFormatting>
  <conditionalFormatting sqref="C48">
    <cfRule type="expression" dxfId="17" priority="18">
      <formula>$E48="卖出"</formula>
    </cfRule>
  </conditionalFormatting>
  <conditionalFormatting sqref="C48 F48">
    <cfRule type="expression" dxfId="16" priority="17">
      <formula>$E48="卖出"</formula>
    </cfRule>
  </conditionalFormatting>
  <conditionalFormatting sqref="A49">
    <cfRule type="expression" dxfId="15" priority="5">
      <formula>$E49="卖出"</formula>
    </cfRule>
  </conditionalFormatting>
  <conditionalFormatting sqref="B48">
    <cfRule type="expression" dxfId="14" priority="15">
      <formula>$E48="卖出"</formula>
    </cfRule>
  </conditionalFormatting>
  <conditionalFormatting sqref="A48">
    <cfRule type="expression" dxfId="13" priority="14">
      <formula>$E48="卖出"</formula>
    </cfRule>
  </conditionalFormatting>
  <conditionalFormatting sqref="K48">
    <cfRule type="expression" dxfId="12" priority="13">
      <formula>$E48="卖出"</formula>
    </cfRule>
  </conditionalFormatting>
  <conditionalFormatting sqref="D48:E48">
    <cfRule type="expression" dxfId="11" priority="12">
      <formula>$E48="卖出"</formula>
    </cfRule>
  </conditionalFormatting>
  <conditionalFormatting sqref="C48">
    <cfRule type="duplicateValues" dxfId="10" priority="19"/>
  </conditionalFormatting>
  <conditionalFormatting sqref="G48:H48">
    <cfRule type="expression" dxfId="9" priority="11">
      <formula>$E48="卖出"</formula>
    </cfRule>
  </conditionalFormatting>
  <conditionalFormatting sqref="I48:J48">
    <cfRule type="expression" dxfId="8" priority="10">
      <formula>$E48="卖出"</formula>
    </cfRule>
  </conditionalFormatting>
  <conditionalFormatting sqref="C49">
    <cfRule type="expression" dxfId="7" priority="8">
      <formula>$E49="卖出"</formula>
    </cfRule>
  </conditionalFormatting>
  <conditionalFormatting sqref="C49 F49">
    <cfRule type="expression" dxfId="6" priority="7">
      <formula>$E49="卖出"</formula>
    </cfRule>
  </conditionalFormatting>
  <conditionalFormatting sqref="B49">
    <cfRule type="expression" dxfId="5" priority="6">
      <formula>$E49="卖出"</formula>
    </cfRule>
  </conditionalFormatting>
  <conditionalFormatting sqref="K49">
    <cfRule type="expression" dxfId="4" priority="4">
      <formula>$E49="卖出"</formula>
    </cfRule>
  </conditionalFormatting>
  <conditionalFormatting sqref="D49:E49">
    <cfRule type="expression" dxfId="3" priority="3">
      <formula>$E49="卖出"</formula>
    </cfRule>
  </conditionalFormatting>
  <conditionalFormatting sqref="C49">
    <cfRule type="duplicateValues" dxfId="2" priority="9"/>
  </conditionalFormatting>
  <conditionalFormatting sqref="G49:H49">
    <cfRule type="expression" dxfId="1" priority="2">
      <formula>$E49="卖出"</formula>
    </cfRule>
  </conditionalFormatting>
  <conditionalFormatting sqref="I49:J49">
    <cfRule type="expression" dxfId="0" priority="1">
      <formula>$E49="卖出"</formula>
    </cfRule>
  </conditionalFormatting>
  <dataValidations count="3">
    <dataValidation type="list" allowBlank="1" showInputMessage="1" showErrorMessage="1" sqref="D2:D6 D8:D47 D48:D49" xr:uid="{668ECDFD-DFCC-4DBC-92AF-78E06F342313}">
      <formula1>"全新,内袋未拆,拆摆,待定"</formula1>
    </dataValidation>
    <dataValidation type="list" allowBlank="1" showInputMessage="1" showErrorMessage="1" sqref="D7" xr:uid="{A4498893-1985-4BE8-B8B4-8EA647E06531}">
      <formula1>"全新,拆摆,待定"</formula1>
    </dataValidation>
    <dataValidation type="list" allowBlank="1" showInputMessage="1" showErrorMessage="1" sqref="E2:E47 E48:E49" xr:uid="{C146CBB6-23C9-4DDF-A729-6DCBEDFDDE5E}">
      <formula1>"留存,卖出"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6C1E-7CD6-479B-86C2-DDBA32DCCB0F}">
  <sheetPr codeName="Sheet10"/>
  <dimension ref="A1:B6"/>
  <sheetViews>
    <sheetView zoomScaleNormal="100" workbookViewId="0">
      <selection activeCell="E9" sqref="E9"/>
    </sheetView>
  </sheetViews>
  <sheetFormatPr defaultRowHeight="14.4"/>
  <cols>
    <col min="1" max="1" width="12" bestFit="1" customWidth="1"/>
  </cols>
  <sheetData>
    <row r="1" spans="1:2" ht="15.6">
      <c r="A1" s="2" t="s">
        <v>16</v>
      </c>
      <c r="B1" s="3">
        <f>SUM(日淘!R3+闲鱼!P2+泡泡玛特!O2+并夕夕!N2+预定!Q2+抖音!N2+'套书+单行本'!W2+'散本+未完结'!U2+淘宝!N2+B站市集!O2+小程序!N2+入魂一番赏!N2)</f>
        <v>472297</v>
      </c>
    </row>
    <row r="2" spans="1:2" ht="15.6">
      <c r="A2" s="2" t="s">
        <v>17</v>
      </c>
      <c r="B2" s="3">
        <f>SUM(日淘!R4+闲鱼!P3+泡泡玛特!O3+并夕夕!N3+预定!Q3+抖音!N3+'套书+单行本'!W3+'散本+未完结'!U3+淘宝!N3+B站市集!O3+小程序!N3+入魂一番赏!N3)</f>
        <v>171519</v>
      </c>
    </row>
    <row r="3" spans="1:2" ht="15.6">
      <c r="A3" s="2" t="s">
        <v>284</v>
      </c>
      <c r="B3" s="3">
        <f>SUM(日淘!R5+闲鱼!P4+泡泡玛特!O4+并夕夕!N4+预定!Q4+抖音!N4+'套书+单行本'!W4+'散本+未完结'!U4+淘宝!N4+B站市集!O4+小程序!N4+入魂一番赏!N4)</f>
        <v>145530</v>
      </c>
    </row>
    <row r="4" spans="1:2" ht="15.6">
      <c r="A4" s="2" t="s">
        <v>280</v>
      </c>
      <c r="B4" s="3">
        <f>SUM(日淘!R6+闲鱼!P5+泡泡玛特!O5+并夕夕!N5+预定!Q5+抖音!N5+'套书+单行本'!W5+'散本+未完结'!U5+淘宝!N5+B站市集!O5+小程序!N5+入魂一番赏!N5)</f>
        <v>25989</v>
      </c>
    </row>
    <row r="5" spans="1:2" ht="15.6">
      <c r="A5" s="2" t="s">
        <v>267</v>
      </c>
      <c r="B5" s="7">
        <f>ROUND(B4/B3,4)</f>
        <v>0.17860000000000001</v>
      </c>
    </row>
    <row r="6" spans="1:2" ht="15.6">
      <c r="A6" s="2" t="s">
        <v>18</v>
      </c>
      <c r="B6" s="3">
        <f>SUM(日淘!R8+闲鱼!P7+泡泡玛特!O7+并夕夕!N7+预定!Q7+抖音!N7+'套书+单行本'!W7+'散本+未完结'!U7+淘宝!N7+B站市集!O7+小程序!N7+入魂一番赏!N7)</f>
        <v>300778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日淘</vt:lpstr>
      <vt:lpstr>闲鱼</vt:lpstr>
      <vt:lpstr>泡泡玛特</vt:lpstr>
      <vt:lpstr>并夕夕</vt:lpstr>
      <vt:lpstr>预定</vt:lpstr>
      <vt:lpstr>抖音</vt:lpstr>
      <vt:lpstr>套书+单行本</vt:lpstr>
      <vt:lpstr>散本+未完结</vt:lpstr>
      <vt:lpstr>淘宝</vt:lpstr>
      <vt:lpstr>B站市集</vt:lpstr>
      <vt:lpstr>小程序</vt:lpstr>
      <vt:lpstr>入魂一番赏</vt:lpstr>
      <vt:lpstr>总计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2026-09-14T14:08:44Z</dcterms:modified>
</cp:coreProperties>
</file>